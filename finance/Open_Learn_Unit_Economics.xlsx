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cts\AI Tutor harness\finance\"/>
    </mc:Choice>
  </mc:AlternateContent>
  <xr:revisionPtr revIDLastSave="0" documentId="8_{50FA8A09-4685-4BDD-AEFA-0D42B0F6BBC4}" xr6:coauthVersionLast="47" xr6:coauthVersionMax="47" xr10:uidLastSave="{00000000-0000-0000-0000-000000000000}"/>
  <bookViews>
    <workbookView xWindow="4884" yWindow="1884" windowWidth="17280" windowHeight="10500" xr2:uid="{00000000-000D-0000-FFFF-FFFF00000000}"/>
  </bookViews>
  <sheets>
    <sheet name="Start Here" sheetId="1" r:id="rId1"/>
    <sheet name="Pricing" sheetId="2" r:id="rId2"/>
    <sheet name="Assumptions" sheetId="3" r:id="rId3"/>
    <sheet name="Unit Costs" sheetId="4" r:id="rId4"/>
    <sheet name="Allowance" sheetId="5" r:id="rId5"/>
    <sheet name="User Profiles" sheetId="6" r:id="rId6"/>
    <sheet name="Fixed Costs" sheetId="7" r:id="rId7"/>
    <sheet name="Expense Log" sheetId="8" r:id="rId8"/>
    <sheet name="Monthly Summary" sheetId="9" r:id="rId9"/>
  </sheets>
  <definedNames>
    <definedName name="_xlnm._FilterDatabase" localSheetId="7" hidden="1">'Expense Log'!$A$4:$J$2000</definedName>
    <definedName name="bb_rate">Assumptions!$B$28</definedName>
    <definedName name="blended_var_cost">'User Profiles'!$J$8</definedName>
    <definedName name="browser_calls">Assumptions!$B$39</definedName>
    <definedName name="cached_share">Assumptions!$B$35</definedName>
    <definedName name="credits_per_window">Assumptions!$B$5</definedName>
    <definedName name="days_per_month">Assumptions!$B$9</definedName>
    <definedName name="exa_rate">Assumptions!$B$29</definedName>
    <definedName name="fixed_launch">'Fixed Costs'!$E$21</definedName>
    <definedName name="fixed_today">'Fixed Costs'!$D$21</definedName>
    <definedName name="free_max_credits">Allowance!$B$10</definedName>
    <definedName name="free_user_cost">'User Profiles'!$J$12</definedName>
    <definedName name="lk_agent">Assumptions!$B$25</definedName>
    <definedName name="lk_participants">Assumptions!$B$27</definedName>
    <definedName name="lk_webrtc">Assumptions!$B$26</definedName>
    <definedName name="llm_cache">Assumptions!$B$22</definedName>
    <definedName name="llm_in">Assumptions!$B$20</definedName>
    <definedName name="llm_out">Assumptions!$B$21</definedName>
    <definedName name="paid_credits_per_window">Assumptions!$B$6</definedName>
    <definedName name="paid_max_credits">Allowance!$C$10</definedName>
    <definedName name="paid_worst_case">Allowance!$C$22</definedName>
    <definedName name="paying_subs">Pricing!$B$6</definedName>
    <definedName name="ref_browser">Assumptions!$B$18</definedName>
    <definedName name="ref_cached">Assumptions!$B$13</definedName>
    <definedName name="ref_in">Assumptions!$B$12</definedName>
    <definedName name="ref_out">Assumptions!$B$14</definedName>
    <definedName name="ref_stt">Assumptions!$B$15</definedName>
    <definedName name="ref_tts">Assumptions!$B$16</definedName>
    <definedName name="ref_voice">Assumptions!$B$17</definedName>
    <definedName name="safety_mult">Assumptions!$B$10</definedName>
    <definedName name="stripe_fixed">Assumptions!$B$31</definedName>
    <definedName name="stripe_pct">Assumptions!$B$30</definedName>
    <definedName name="stt_rate">Assumptions!$B$23</definedName>
    <definedName name="tokens_in">Assumptions!$B$33</definedName>
    <definedName name="tokens_out">Assumptions!$B$34</definedName>
    <definedName name="tts_rate">Assumptions!$B$24</definedName>
    <definedName name="u_browser_cr">'Unit Costs'!$B$25</definedName>
    <definedName name="u_browser_usd">'Unit Costs'!$C$25</definedName>
    <definedName name="u_search_cr">'Unit Costs'!$B$26</definedName>
    <definedName name="u_search_usd">'Unit Costs'!$C$26</definedName>
    <definedName name="u_text_cr">'Unit Costs'!$B$23</definedName>
    <definedName name="u_text_usd">'Unit Costs'!$C$23</definedName>
    <definedName name="u_voice_cr">'Unit Costs'!$B$24</definedName>
    <definedName name="u_voice_usd">'Unit Costs'!$C$24</definedName>
    <definedName name="usd_per_credit">Assumptions!$B$7</definedName>
    <definedName name="voice_chars">Assumptions!$B$37</definedName>
    <definedName name="voice_stt_min">Assumptions!$B$36</definedName>
    <definedName name="voice_turns">Assumptions!$B$38</definedName>
    <definedName name="window_hours">Assumptions!$B$8</definedName>
  </definedNames>
  <calcPr calcId="181029"/>
</workbook>
</file>

<file path=xl/calcChain.xml><?xml version="1.0" encoding="utf-8"?>
<calcChain xmlns="http://schemas.openxmlformats.org/spreadsheetml/2006/main">
  <c r="N17" i="9" l="1"/>
  <c r="P16" i="9"/>
  <c r="O16" i="9"/>
  <c r="J16" i="9"/>
  <c r="I16" i="9"/>
  <c r="H16" i="9"/>
  <c r="G16" i="9"/>
  <c r="F16" i="9"/>
  <c r="E16" i="9"/>
  <c r="D16" i="9"/>
  <c r="C16" i="9"/>
  <c r="B16" i="9"/>
  <c r="K16" i="9" s="1"/>
  <c r="Q16" i="9" s="1"/>
  <c r="P15" i="9"/>
  <c r="O15" i="9"/>
  <c r="J15" i="9"/>
  <c r="I15" i="9"/>
  <c r="H15" i="9"/>
  <c r="G15" i="9"/>
  <c r="F15" i="9"/>
  <c r="E15" i="9"/>
  <c r="D15" i="9"/>
  <c r="C15" i="9"/>
  <c r="B15" i="9"/>
  <c r="P14" i="9"/>
  <c r="O14" i="9"/>
  <c r="J14" i="9"/>
  <c r="I14" i="9"/>
  <c r="H14" i="9"/>
  <c r="G14" i="9"/>
  <c r="F14" i="9"/>
  <c r="E14" i="9"/>
  <c r="D14" i="9"/>
  <c r="C14" i="9"/>
  <c r="B14" i="9"/>
  <c r="P13" i="9"/>
  <c r="O13" i="9"/>
  <c r="J13" i="9"/>
  <c r="I13" i="9"/>
  <c r="H13" i="9"/>
  <c r="G13" i="9"/>
  <c r="F13" i="9"/>
  <c r="E13" i="9"/>
  <c r="D13" i="9"/>
  <c r="C13" i="9"/>
  <c r="B13" i="9"/>
  <c r="P12" i="9"/>
  <c r="O12" i="9"/>
  <c r="J12" i="9"/>
  <c r="I12" i="9"/>
  <c r="H12" i="9"/>
  <c r="G12" i="9"/>
  <c r="F12" i="9"/>
  <c r="E12" i="9"/>
  <c r="D12" i="9"/>
  <c r="C12" i="9"/>
  <c r="B12" i="9"/>
  <c r="P11" i="9"/>
  <c r="O11" i="9"/>
  <c r="J11" i="9"/>
  <c r="I11" i="9"/>
  <c r="H11" i="9"/>
  <c r="G11" i="9"/>
  <c r="F11" i="9"/>
  <c r="E11" i="9"/>
  <c r="D11" i="9"/>
  <c r="C11" i="9"/>
  <c r="B11" i="9"/>
  <c r="P10" i="9"/>
  <c r="O10" i="9"/>
  <c r="J10" i="9"/>
  <c r="I10" i="9"/>
  <c r="H10" i="9"/>
  <c r="G10" i="9"/>
  <c r="F10" i="9"/>
  <c r="E10" i="9"/>
  <c r="D10" i="9"/>
  <c r="C10" i="9"/>
  <c r="B10" i="9"/>
  <c r="P9" i="9"/>
  <c r="O9" i="9"/>
  <c r="J9" i="9"/>
  <c r="I9" i="9"/>
  <c r="H9" i="9"/>
  <c r="G9" i="9"/>
  <c r="F9" i="9"/>
  <c r="E9" i="9"/>
  <c r="D9" i="9"/>
  <c r="C9" i="9"/>
  <c r="B9" i="9"/>
  <c r="P8" i="9"/>
  <c r="O8" i="9"/>
  <c r="J8" i="9"/>
  <c r="I8" i="9"/>
  <c r="H8" i="9"/>
  <c r="G8" i="9"/>
  <c r="F8" i="9"/>
  <c r="E8" i="9"/>
  <c r="D8" i="9"/>
  <c r="C8" i="9"/>
  <c r="B8" i="9"/>
  <c r="K8" i="9" s="1"/>
  <c r="Q8" i="9" s="1"/>
  <c r="P7" i="9"/>
  <c r="O7" i="9"/>
  <c r="J7" i="9"/>
  <c r="I7" i="9"/>
  <c r="H7" i="9"/>
  <c r="G7" i="9"/>
  <c r="F7" i="9"/>
  <c r="E7" i="9"/>
  <c r="D7" i="9"/>
  <c r="C7" i="9"/>
  <c r="B7" i="9"/>
  <c r="P6" i="9"/>
  <c r="O6" i="9"/>
  <c r="J6" i="9"/>
  <c r="I6" i="9"/>
  <c r="H6" i="9"/>
  <c r="G6" i="9"/>
  <c r="F6" i="9"/>
  <c r="E6" i="9"/>
  <c r="D6" i="9"/>
  <c r="C6" i="9"/>
  <c r="B6" i="9"/>
  <c r="P5" i="9"/>
  <c r="O5" i="9"/>
  <c r="J5" i="9"/>
  <c r="J17" i="9" s="1"/>
  <c r="I5" i="9"/>
  <c r="H5" i="9"/>
  <c r="H17" i="9" s="1"/>
  <c r="G5" i="9"/>
  <c r="G17" i="9" s="1"/>
  <c r="F5" i="9"/>
  <c r="F17" i="9" s="1"/>
  <c r="E5" i="9"/>
  <c r="E17" i="9" s="1"/>
  <c r="D5" i="9"/>
  <c r="C5" i="9"/>
  <c r="B5" i="9"/>
  <c r="E21" i="7"/>
  <c r="D21" i="7"/>
  <c r="F8" i="6"/>
  <c r="E8" i="6"/>
  <c r="D8" i="6"/>
  <c r="C8" i="6"/>
  <c r="B8" i="6"/>
  <c r="L8" i="6" s="1"/>
  <c r="B26" i="5"/>
  <c r="C9" i="5"/>
  <c r="B9" i="5"/>
  <c r="C8" i="5"/>
  <c r="B8" i="5"/>
  <c r="C6" i="5"/>
  <c r="B6" i="5"/>
  <c r="D19" i="4"/>
  <c r="E18" i="4"/>
  <c r="C15" i="4"/>
  <c r="E14" i="4"/>
  <c r="D14" i="4"/>
  <c r="C11" i="4"/>
  <c r="E10" i="4"/>
  <c r="D10" i="4"/>
  <c r="C9" i="4"/>
  <c r="C8" i="4"/>
  <c r="E5" i="4"/>
  <c r="D5" i="4"/>
  <c r="D6" i="4" s="1"/>
  <c r="B11" i="1"/>
  <c r="K15" i="9" l="1"/>
  <c r="Q15" i="9" s="1"/>
  <c r="K6" i="9"/>
  <c r="Q6" i="9" s="1"/>
  <c r="K14" i="9"/>
  <c r="Q14" i="9" s="1"/>
  <c r="K13" i="9"/>
  <c r="Q13" i="9" s="1"/>
  <c r="K12" i="9"/>
  <c r="Q12" i="9" s="1"/>
  <c r="K11" i="9"/>
  <c r="Q11" i="9" s="1"/>
  <c r="C17" i="9"/>
  <c r="K10" i="9"/>
  <c r="Q10" i="9" s="1"/>
  <c r="K9" i="9"/>
  <c r="Q9" i="9" s="1"/>
  <c r="K7" i="9"/>
  <c r="Q7" i="9" s="1"/>
  <c r="F10" i="4"/>
  <c r="G10" i="4" s="1"/>
  <c r="I17" i="9"/>
  <c r="D17" i="9"/>
  <c r="B17" i="9"/>
  <c r="K5" i="9"/>
  <c r="B10" i="1"/>
  <c r="B13" i="2"/>
  <c r="C10" i="5"/>
  <c r="C7" i="5"/>
  <c r="B10" i="5"/>
  <c r="B7" i="5"/>
  <c r="F18" i="4"/>
  <c r="E19" i="4"/>
  <c r="C26" i="4" s="1"/>
  <c r="D15" i="4"/>
  <c r="D16" i="4" s="1"/>
  <c r="F14" i="4"/>
  <c r="D11" i="4"/>
  <c r="E9" i="4"/>
  <c r="D9" i="4"/>
  <c r="E8" i="4"/>
  <c r="D8" i="4"/>
  <c r="F5" i="4"/>
  <c r="E6" i="4"/>
  <c r="E15" i="4" s="1"/>
  <c r="E16" i="4" s="1"/>
  <c r="C25" i="4" s="1"/>
  <c r="Q5" i="9" l="1"/>
  <c r="Q17" i="9" s="1"/>
  <c r="K17" i="9"/>
  <c r="C11" i="5"/>
  <c r="B11" i="5"/>
  <c r="G18" i="4"/>
  <c r="G19" i="4" s="1"/>
  <c r="D26" i="4" s="1"/>
  <c r="G26" i="4" s="1"/>
  <c r="F19" i="4"/>
  <c r="B26" i="4" s="1"/>
  <c r="G14" i="4"/>
  <c r="F8" i="4"/>
  <c r="G5" i="4"/>
  <c r="G6" i="4" s="1"/>
  <c r="D23" i="4" s="1"/>
  <c r="G23" i="4" s="1"/>
  <c r="F6" i="4"/>
  <c r="F9" i="4"/>
  <c r="G9" i="4" s="1"/>
  <c r="D12" i="4"/>
  <c r="C23" i="4"/>
  <c r="J12" i="6" s="1"/>
  <c r="E11" i="4"/>
  <c r="E12" i="4" s="1"/>
  <c r="C24" i="4" s="1"/>
  <c r="B21" i="5" l="1"/>
  <c r="C21" i="5"/>
  <c r="E26" i="4"/>
  <c r="F26" i="4" s="1"/>
  <c r="B16" i="5"/>
  <c r="C16" i="5"/>
  <c r="G8" i="4"/>
  <c r="F11" i="4"/>
  <c r="F15" i="4"/>
  <c r="B23" i="4"/>
  <c r="B29" i="5"/>
  <c r="B12" i="2"/>
  <c r="G11" i="4" l="1"/>
  <c r="F12" i="4"/>
  <c r="B24" i="4" s="1"/>
  <c r="G6" i="6" s="1"/>
  <c r="B19" i="5"/>
  <c r="C19" i="5"/>
  <c r="E24" i="4"/>
  <c r="F24" i="4" s="1"/>
  <c r="B14" i="5"/>
  <c r="C14" i="5"/>
  <c r="F16" i="4"/>
  <c r="B25" i="4" s="1"/>
  <c r="G7" i="6" s="1"/>
  <c r="G15" i="4"/>
  <c r="G16" i="4" s="1"/>
  <c r="D25" i="4" s="1"/>
  <c r="G25" i="4" s="1"/>
  <c r="B18" i="5"/>
  <c r="C18" i="5"/>
  <c r="E23" i="4"/>
  <c r="F23" i="4" s="1"/>
  <c r="B13" i="5"/>
  <c r="C13" i="5"/>
  <c r="G5" i="6"/>
  <c r="G12" i="6"/>
  <c r="H12" i="6" s="1"/>
  <c r="G12" i="4"/>
  <c r="D24" i="4" s="1"/>
  <c r="G24" i="4" s="1"/>
  <c r="C15" i="5" l="1"/>
  <c r="B15" i="5"/>
  <c r="E25" i="4"/>
  <c r="F25" i="4" s="1"/>
  <c r="B20" i="5"/>
  <c r="C20" i="5"/>
  <c r="C22" i="5" s="1"/>
  <c r="B9" i="1" s="1"/>
  <c r="H5" i="6"/>
  <c r="K5" i="6"/>
  <c r="I5" i="6"/>
  <c r="J5" i="6" s="1"/>
  <c r="G8" i="6"/>
  <c r="H6" i="6"/>
  <c r="I6" i="6"/>
  <c r="J6" i="6" s="1"/>
  <c r="K6" i="6"/>
  <c r="H7" i="6"/>
  <c r="K7" i="6"/>
  <c r="I7" i="6"/>
  <c r="J7" i="6" s="1"/>
  <c r="B22" i="5"/>
  <c r="K8" i="6" l="1"/>
  <c r="J8" i="6"/>
  <c r="B11" i="2" l="1"/>
  <c r="B28" i="5"/>
  <c r="B30" i="5" s="1"/>
  <c r="B31" i="5" s="1"/>
  <c r="C36" i="2" l="1"/>
  <c r="D36" i="2"/>
  <c r="E36" i="2"/>
  <c r="B14" i="2"/>
  <c r="B30" i="2"/>
  <c r="C30" i="2"/>
  <c r="D30" i="2"/>
  <c r="E30" i="2"/>
  <c r="B31" i="2"/>
  <c r="C31" i="2"/>
  <c r="D31" i="2"/>
  <c r="E31" i="2"/>
  <c r="B32" i="2"/>
  <c r="C32" i="2"/>
  <c r="D32" i="2"/>
  <c r="E32" i="2"/>
  <c r="B33" i="2"/>
  <c r="C33" i="2"/>
  <c r="D33" i="2"/>
  <c r="E33" i="2"/>
  <c r="B34" i="2"/>
  <c r="C34" i="2"/>
  <c r="D34" i="2"/>
  <c r="E34" i="2"/>
  <c r="B35" i="2"/>
  <c r="C35" i="2"/>
  <c r="D35" i="2"/>
  <c r="E35" i="2"/>
  <c r="B36" i="2"/>
  <c r="B16" i="2" l="1"/>
  <c r="B6" i="1" s="1"/>
  <c r="B17" i="2"/>
  <c r="B18" i="2" s="1"/>
  <c r="B7" i="1"/>
  <c r="B19" i="2" l="1"/>
  <c r="B21" i="2"/>
  <c r="B22" i="2" s="1"/>
  <c r="B8" i="1" s="1"/>
  <c r="B5" i="1"/>
  <c r="B23" i="2" l="1"/>
  <c r="B25" i="2" s="1"/>
  <c r="B24" i="2"/>
</calcChain>
</file>

<file path=xl/sharedStrings.xml><?xml version="1.0" encoding="utf-8"?>
<sst xmlns="http://schemas.openxmlformats.org/spreadsheetml/2006/main" count="403" uniqueCount="350">
  <si>
    <t>Open Learn - expenses, allowance &amp; pricing</t>
  </si>
  <si>
    <t>Built 2026-10-12 from the repo's usage policy (backend/app/usage/pricing.py, docs/UNIFIED_USAGE_ALLOWANCE_IMPLEMENTATION.md) and public provider rates.</t>
  </si>
  <si>
    <t>Headline numbers (live - change any input and these update)</t>
  </si>
  <si>
    <t>Recommended monthly price</t>
  </si>
  <si>
    <t>Break-even price</t>
  </si>
  <si>
    <t>Fully loaded cost per paying user / month</t>
  </si>
  <si>
    <t>Gross margin at recommended price</t>
  </si>
  <si>
    <t>Worst-case usage cost per paying user / month</t>
  </si>
  <si>
    <t>Fixed costs per month (at paid launch)</t>
  </si>
  <si>
    <t>Allowance per user</t>
  </si>
  <si>
    <t>How to use</t>
  </si>
  <si>
    <t>1. Expense Log - add every charge as it happens (date, vendor, category, amount). Monthly Summary totals it automatically.</t>
  </si>
  <si>
    <t>2. Monthly Summary - each month, type in active users, paying users and revenue to see real cost per user and profit.</t>
  </si>
  <si>
    <t>3. Fixed Costs - keep subscriptions current. 'At paid launch' feeds the price.</t>
  </si>
  <si>
    <t>4. Assumptions - provider rates and allowance policy. Yellow cells came from third-party trackers or are product decisions: verify them.</t>
  </si>
  <si>
    <t>5. User Profiles - replace the guessed usage numbers with real analytics once you have them.</t>
  </si>
  <si>
    <t>6. Pricing - set paying-subscriber scale and target margin; read the recommended price and the sensitivity table.</t>
  </si>
  <si>
    <t>Colour key</t>
  </si>
  <si>
    <t>Blue text</t>
  </si>
  <si>
    <t>Input you can change</t>
  </si>
  <si>
    <t>Black text</t>
  </si>
  <si>
    <t>Formula - don't overwrite</t>
  </si>
  <si>
    <t>Green text</t>
  </si>
  <si>
    <t>Pulled from another tab</t>
  </si>
  <si>
    <t>Yellow fill</t>
  </si>
  <si>
    <t>Verify this / product decision</t>
  </si>
  <si>
    <t>Green fill</t>
  </si>
  <si>
    <t>Key result</t>
  </si>
  <si>
    <t>Sources for provider rates (checked 2026-10-12)</t>
  </si>
  <si>
    <t>Claude Haiku 5.5 via OpenRouter: repo doc docs/UNIFIED_USAGE_ALLOWANCE_IMPLEMENTATION.md §0 (verify https://openrouter.ai)</t>
  </si>
  <si>
    <t>Deepgram Flux: https://deepgram.com/pricing (third-party trackers: pricingsaas.com, usagepricing.com)</t>
  </si>
  <si>
    <t>ElevenLabs Flash v2.5: https://elevenlabs.io/pricing/api (via techjacksolutions.com, llmreference.com)</t>
  </si>
  <si>
    <t>LiveKit: https://livekit.com/pricing</t>
  </si>
  <si>
    <t>Exa: https://exa.ai/docs/reference/pricing</t>
  </si>
  <si>
    <t>Browserbase: https://www.browserbase.com/pricing (repo doc §11)</t>
  </si>
  <si>
    <t>Render / Supabase / Vercel: render.com/pricing, supabase.com/pricing, vercel.com/pricing (third-party summaries)</t>
  </si>
  <si>
    <t>What to charge</t>
  </si>
  <si>
    <t>Price = (cost per paying user + fixed card fee) / (1 - card % - target margin). Margin = what's left after card fees and all costs.</t>
  </si>
  <si>
    <t>Item</t>
  </si>
  <si>
    <t>Value</t>
  </si>
  <si>
    <t>Note</t>
  </si>
  <si>
    <t>Inputs</t>
  </si>
  <si>
    <t>Paying subscribers (planning scale)</t>
  </si>
  <si>
    <t>Fixed costs are spread over this many payers - the biggest lever at small scale</t>
  </si>
  <si>
    <t>Free users per paying user</t>
  </si>
  <si>
    <t>4 = 20% of all users pay</t>
  </si>
  <si>
    <t>Target gross margin</t>
  </si>
  <si>
    <t>Typical SaaS target 70-80%; AI products often run 50-65%</t>
  </si>
  <si>
    <t>Annual plan: months charged per year</t>
  </si>
  <si>
    <t>10 = 'two months free' on annual billing</t>
  </si>
  <si>
    <t>Cost per paying user per month</t>
  </si>
  <si>
    <t>Variable usage cost (blended)</t>
  </si>
  <si>
    <t>User Profiles</t>
  </si>
  <si>
    <t>Free-user subsidy</t>
  </si>
  <si>
    <t>Free users' AI cost, carried by payers</t>
  </si>
  <si>
    <t>Fixed costs share</t>
  </si>
  <si>
    <t>Fixed Costs (at paid launch) / paying subscribers</t>
  </si>
  <si>
    <t>Fully loaded cost per paying user</t>
  </si>
  <si>
    <t>Price</t>
  </si>
  <si>
    <t>Zero profit after card fees</t>
  </si>
  <si>
    <t>Price for target margin</t>
  </si>
  <si>
    <t>RECOMMENDED MONTHLY PRICE</t>
  </si>
  <si>
    <t>Target-margin price rounded up to the next .99</t>
  </si>
  <si>
    <t>Annual plan price</t>
  </si>
  <si>
    <t>Checks at the recommended price</t>
  </si>
  <si>
    <t>Net revenue per user after card fees</t>
  </si>
  <si>
    <t>Gross margin per average paying user</t>
  </si>
  <si>
    <t>Profit per average paying user / month</t>
  </si>
  <si>
    <t>Profit on a worst-case user (maxes every window)</t>
  </si>
  <si>
    <t>Negative = an extreme user costs more than they pay. Fix by lowering paid credits/window or capping voice</t>
  </si>
  <si>
    <t>Monthly profit at planning scale</t>
  </si>
  <si>
    <t>Sensitivity: recommended price (rounded to .99) by scale and margin</t>
  </si>
  <si>
    <t>Paying subscribers</t>
  </si>
  <si>
    <t>50% margin</t>
  </si>
  <si>
    <t>60% margin</t>
  </si>
  <si>
    <t>70% margin</t>
  </si>
  <si>
    <t>80% margin</t>
  </si>
  <si>
    <t>Margin -&gt;</t>
  </si>
  <si>
    <t>Assumptions &amp; provider rates</t>
  </si>
  <si>
    <t>Blue = input you can change. Yellow = verify before relying on it (rate pulled from a third-party tracker or a product decision).</t>
  </si>
  <si>
    <t>Parameter</t>
  </si>
  <si>
    <t>Unit</t>
  </si>
  <si>
    <t>Source / note</t>
  </si>
  <si>
    <t>Allowance policy (what each user gets)</t>
  </si>
  <si>
    <t>Free credits per window</t>
  </si>
  <si>
    <t>credits</t>
  </si>
  <si>
    <t>Repo: OPENLEARN_FREE_CREDITS_MICRO=100000000 (docs/UNIFIED_USAGE_ALLOWANCE_IMPLEMENTATION.md §1)</t>
  </si>
  <si>
    <t>Paid-plan credits per window</t>
  </si>
  <si>
    <t>PRODUCT DECISION. Defaults to the current free policy; raise (e.g. 200 or 300) to give paying users more. Drives worst-case cost on the Allowance tab.</t>
  </si>
  <si>
    <t>Value of one credit</t>
  </si>
  <si>
    <t>$ / credit</t>
  </si>
  <si>
    <t>Repo policy: 1 credit = $0.001 of normalized cost</t>
  </si>
  <si>
    <t>Window length</t>
  </si>
  <si>
    <t>hours</t>
  </si>
  <si>
    <t>Repo: OPENLEARN_USAGE_WINDOW_SECONDS=18000</t>
  </si>
  <si>
    <t>Days per month</t>
  </si>
  <si>
    <t>days</t>
  </si>
  <si>
    <t>Planning convention used in the spec</t>
  </si>
  <si>
    <t>Safety multiplier on provider cost</t>
  </si>
  <si>
    <t>x</t>
  </si>
  <si>
    <t>backend/app/usage/pricing.py:25 - charge = max(reference, provider cost x 1.25)</t>
  </si>
  <si>
    <t>Reference rates (Open Learn policy, in credits)</t>
  </si>
  <si>
    <t>Uncached model input</t>
  </si>
  <si>
    <t>credits / 1K tokens</t>
  </si>
  <si>
    <t>pricing.py: 500 microcredits per token</t>
  </si>
  <si>
    <t>Cached model input</t>
  </si>
  <si>
    <t>pricing.py: 100 microcredits per token</t>
  </si>
  <si>
    <t>Model output</t>
  </si>
  <si>
    <t>pricing.py: 2000 microcredits per token</t>
  </si>
  <si>
    <t>Speech-to-text</t>
  </si>
  <si>
    <t>credits / audio min</t>
  </si>
  <si>
    <t>pricing.py</t>
  </si>
  <si>
    <t>Text-to-speech</t>
  </si>
  <si>
    <t>credits / 1K chars</t>
  </si>
  <si>
    <t>Voice transport/runtime</t>
  </si>
  <si>
    <t>credits / connected min</t>
  </si>
  <si>
    <t>Cloud browser</t>
  </si>
  <si>
    <t>credits / browser min</t>
  </si>
  <si>
    <t>Provider rates (what you actually pay)</t>
  </si>
  <si>
    <t>Claude Haiku 5.5 input</t>
  </si>
  <si>
    <t>$ / 1M tokens</t>
  </si>
  <si>
    <t>Repo doc §0 quoting OpenRouter listing; verify live listing</t>
  </si>
  <si>
    <t>Claude Haiku 5.5 output</t>
  </si>
  <si>
    <t>Claude Haiku 5.5 cache read</t>
  </si>
  <si>
    <t>Deepgram Flux STT (streaming, English)</t>
  </si>
  <si>
    <t>$ / audio min</t>
  </si>
  <si>
    <t>Third-party trackers, Jun 2026 promo rate (regular $0.0077). Verify deepgram.com/pricing</t>
  </si>
  <si>
    <t>ElevenLabs Flash v2.5 TTS</t>
  </si>
  <si>
    <t>$ / 1K chars</t>
  </si>
  <si>
    <t>Third-party summaries of ElevenLabs API pricing, Jul-Aug 2026. Model per repo: ELEVENLABS_MODEL=eleven_flash_v2_5. Verify elevenlabs.io/pricing/api</t>
  </si>
  <si>
    <t>LiveKit agent session</t>
  </si>
  <si>
    <t>$ / agent min</t>
  </si>
  <si>
    <t>livekit.com/pricing. Set to 0 if the agent runs on your own Render worker rather than LiveKit Cloud</t>
  </si>
  <si>
    <t>LiveKit WebRTC participant</t>
  </si>
  <si>
    <t>$ / participant min</t>
  </si>
  <si>
    <t>Ship-tier overage per third-party summaries; Build tier includes 5,000 min free</t>
  </si>
  <si>
    <t>Participants per voice room</t>
  </si>
  <si>
    <t>participants</t>
  </si>
  <si>
    <t>Learner + agent</t>
  </si>
  <si>
    <t>Browserbase browser time</t>
  </si>
  <si>
    <t>$ / browser min</t>
  </si>
  <si>
    <t>Repo doc §11: Developer plan $0.12/hour after 100 included hours</t>
  </si>
  <si>
    <t>Exa web search</t>
  </si>
  <si>
    <t>$ / search</t>
  </si>
  <si>
    <t>exa.ai/docs pricing: $7 / 1K requests (contents for 10 results included)</t>
  </si>
  <si>
    <t>Card processing - percent</t>
  </si>
  <si>
    <t>% of price</t>
  </si>
  <si>
    <t>Typical Stripe US card rate; adjust to your processor</t>
  </si>
  <si>
    <t>Card processing - fixed</t>
  </si>
  <si>
    <t>$ / charge</t>
  </si>
  <si>
    <t>Typical Stripe US card rate</t>
  </si>
  <si>
    <t>Activity shape (how a unit of usage looks)</t>
  </si>
  <si>
    <t>Input tokens per text turn</t>
  </si>
  <si>
    <t>tokens</t>
  </si>
  <si>
    <t>Spec worked example. Grows with chat history - raise if long conversations are common</t>
  </si>
  <si>
    <t>Output tokens per text turn</t>
  </si>
  <si>
    <t>Spec worked example</t>
  </si>
  <si>
    <t>Share of input served from cache</t>
  </si>
  <si>
    <t>%</t>
  </si>
  <si>
    <t>Conservative 0%. Only provider-confirmed cache hits count</t>
  </si>
  <si>
    <t>Audio minutes sent to STT per connected minute</t>
  </si>
  <si>
    <t>min</t>
  </si>
  <si>
    <t>Spec example; silence is still billed</t>
  </si>
  <si>
    <t>TTS characters per connected minute</t>
  </si>
  <si>
    <t>chars</t>
  </si>
  <si>
    <t>LLM turns per connected voice minute</t>
  </si>
  <si>
    <t>turns</t>
  </si>
  <si>
    <t>LLM calls per browser minute</t>
  </si>
  <si>
    <t>calls</t>
  </si>
  <si>
    <t>Spec example: 5 model calls in a 3-minute browser task</t>
  </si>
  <si>
    <t>Cost of one unit of usage</t>
  </si>
  <si>
    <t>Credits charged follow pricing.py: each component is billed at max(reference credits, provider $ x safety multiplier / $ per credit).</t>
  </si>
  <si>
    <t>Activity</t>
  </si>
  <si>
    <t>Component</t>
  </si>
  <si>
    <t>Quantity</t>
  </si>
  <si>
    <t>Reference credits</t>
  </si>
  <si>
    <t>Actual provider $</t>
  </si>
  <si>
    <t>Credits charged</t>
  </si>
  <si>
    <t>Normalized $ (credits x $/credit)</t>
  </si>
  <si>
    <t>Text turn</t>
  </si>
  <si>
    <t>LLM call (input + cached input + output)</t>
  </si>
  <si>
    <t>Text turn - total</t>
  </si>
  <si>
    <t>Voice minute</t>
  </si>
  <si>
    <t>Speech-to-text (Deepgram)</t>
  </si>
  <si>
    <t>Text-to-speech chars (ElevenLabs)</t>
  </si>
  <si>
    <t>Realtime room + agent (LiveKit)</t>
  </si>
  <si>
    <t>LLM turns</t>
  </si>
  <si>
    <t>Voice minute - total</t>
  </si>
  <si>
    <t>Browser minute</t>
  </si>
  <si>
    <t>Cloud browser time (Browserbase)</t>
  </si>
  <si>
    <t>LLM actions</t>
  </si>
  <si>
    <t>Browser minute - total</t>
  </si>
  <si>
    <t>Web search</t>
  </si>
  <si>
    <t>Exa search (contents for 10 results included)</t>
  </si>
  <si>
    <t>Web search - total</t>
  </si>
  <si>
    <t>Summary per unit</t>
  </si>
  <si>
    <t>Credits per unit</t>
  </si>
  <si>
    <t>Actual provider $ per unit</t>
  </si>
  <si>
    <t>Normalized $ per unit</t>
  </si>
  <si>
    <t>Units per FREE window</t>
  </si>
  <si>
    <t>Actual $ for one fully used free window</t>
  </si>
  <si>
    <t>Actual cost as % of credit value</t>
  </si>
  <si>
    <t>Reading it: 'Actual cost as % of credit value' below 100% means the reference rate is the binding charge, so real spend is lower than the credits imply.</t>
  </si>
  <si>
    <t>Allowance given to each user</t>
  </si>
  <si>
    <t>Every user gets a fresh allowance each window. The window starts on first paid use and lasts 5 hours; unused credit does not roll over.</t>
  </si>
  <si>
    <t>Metric</t>
  </si>
  <si>
    <t>Free plan</t>
  </si>
  <si>
    <t>Paid plan</t>
  </si>
  <si>
    <t>Policy</t>
  </si>
  <si>
    <t>Credits per window</t>
  </si>
  <si>
    <t>From Assumptions</t>
  </si>
  <si>
    <t>Credit value per window ($, normalized)</t>
  </si>
  <si>
    <t>What the credits are worth at reference rates - not your bill</t>
  </si>
  <si>
    <t>Max windows per day</t>
  </si>
  <si>
    <t>Only if the user starts a new window the moment the last one expires, around the clock</t>
  </si>
  <si>
    <t>Max windows per month</t>
  </si>
  <si>
    <t>144 with 5-hour windows and 30 days</t>
  </si>
  <si>
    <t>Max credits per month</t>
  </si>
  <si>
    <t>Max credit value per month ($, normalized)</t>
  </si>
  <si>
    <t>Spec: $14.40 per 30 days at 100 credits</t>
  </si>
  <si>
    <t>What one full window buys (if spent on one thing)</t>
  </si>
  <si>
    <t>Text turns</t>
  </si>
  <si>
    <t>Turn size set on Assumptions</t>
  </si>
  <si>
    <t>Voice minutes</t>
  </si>
  <si>
    <t>Voice is the expensive activity</t>
  </si>
  <si>
    <t>Cloud browser minutes</t>
  </si>
  <si>
    <t>Includes LLM actions</t>
  </si>
  <si>
    <t>Web searches</t>
  </si>
  <si>
    <t>Worst case: actual provider cost if a user maxes EVERY window for a month</t>
  </si>
  <si>
    <t>All text (Claude Haiku 5.5)</t>
  </si>
  <si>
    <t>Free plan currently routes to openrouter/free, so its real text cost is $0 until paid routes are enabled for free users</t>
  </si>
  <si>
    <t>All voice</t>
  </si>
  <si>
    <t>Voice is gated to paid routes in the repo</t>
  </si>
  <si>
    <t>All cloud browser</t>
  </si>
  <si>
    <t>All web search</t>
  </si>
  <si>
    <t>Worst-case cost per user per month</t>
  </si>
  <si>
    <t>Theoretical ceiling. Real users sleep - see User Profiles for realistic cost</t>
  </si>
  <si>
    <t>Platform exposure (all users together)</t>
  </si>
  <si>
    <t>Free accounts</t>
  </si>
  <si>
    <t>Input: how many free accounts you expect</t>
  </si>
  <si>
    <t>Paying accounts</t>
  </si>
  <si>
    <t>Linked from Pricing</t>
  </si>
  <si>
    <t>Platform monthly budget cap ($)</t>
  </si>
  <si>
    <t>Repo default: OPENLEARN_PLATFORM_MONTHLY_BUDGET_USD=100. Paid work is refused once hit</t>
  </si>
  <si>
    <t>Expected paid-user variable spend / month</t>
  </si>
  <si>
    <t>Paying accounts x blended cost from User Profiles</t>
  </si>
  <si>
    <t>Expected free-user variable spend / month</t>
  </si>
  <si>
    <t>Free accounts x free-user cost from User Profiles</t>
  </si>
  <si>
    <t>Total expected variable spend / month</t>
  </si>
  <si>
    <t>If this exceeds the cap, raise the cap before launch or users will see 'service capacity' errors</t>
  </si>
  <si>
    <t>Cap headroom (cap - expected spend)</t>
  </si>
  <si>
    <t>Realistic usage per user per month</t>
  </si>
  <si>
    <t>Edit the blue usage numbers and mix once you have real analytics (Usage settings / provider dashboards). Usage above the paid allowance is capped.</t>
  </si>
  <si>
    <t>Profile</t>
  </si>
  <si>
    <t>Share of paying users</t>
  </si>
  <si>
    <t>Text turns / month</t>
  </si>
  <si>
    <t>Voice minutes / month</t>
  </si>
  <si>
    <t>Browser minutes / month</t>
  </si>
  <si>
    <t>Web searches / month</t>
  </si>
  <si>
    <t>Credits used / month</t>
  </si>
  <si>
    <t>% of paid monthly allowance</t>
  </si>
  <si>
    <t>Allowance cap factor</t>
  </si>
  <si>
    <t>Actual variable cost / month</t>
  </si>
  <si>
    <t>Credit value used / month</t>
  </si>
  <si>
    <t>Light</t>
  </si>
  <si>
    <t>Typical</t>
  </si>
  <si>
    <t>Heavy</t>
  </si>
  <si>
    <t>Blended paying user</t>
  </si>
  <si>
    <t>Free users (cost you carry for people who don't pay)</t>
  </si>
  <si>
    <t>Share of free text on paid model</t>
  </si>
  <si>
    <t>% of free monthly allowance</t>
  </si>
  <si>
    <t>Free user</t>
  </si>
  <si>
    <t>Share on paid model = 0% matches today's config (OPENROUTER_MODEL=openrouter/free). Voice and browser are paid-only, so they stay 0 for free users.</t>
  </si>
  <si>
    <t>Fixed monthly costs (subscriptions &amp; hosting)</t>
  </si>
  <si>
    <t>'Today' = what you pay now. 'At paid launch' = the stack you'd need for paying users. Pricing uses the 'At paid launch' column. Annual fees are divided by 12.</t>
  </si>
  <si>
    <t>Vendor</t>
  </si>
  <si>
    <t>Category</t>
  </si>
  <si>
    <t>Today ($/mo)</t>
  </si>
  <si>
    <t>At paid launch ($/mo)</t>
  </si>
  <si>
    <t>API web service (openlearn-api)</t>
  </si>
  <si>
    <t>Render</t>
  </si>
  <si>
    <t>Hosting &amp; Database</t>
  </si>
  <si>
    <t>deploy/render.yaml shows plan: free. Standard ~$25/mo (no spin-down) per third-party summaries of render.com/pricing</t>
  </si>
  <si>
    <t>Background / voice worker</t>
  </si>
  <si>
    <t>Learning + voice agent worker. Standard ~$25/mo</t>
  </si>
  <si>
    <t>Key Value cache</t>
  </si>
  <si>
    <t>render.yaml: openlearn-cache-free (plan: free). Starter ~$10/mo - verify</t>
  </si>
  <si>
    <t>Render workspace plan</t>
  </si>
  <si>
    <t>Hobby $0; paid workspace tiers exist - verify render.com/pricing</t>
  </si>
  <si>
    <t>PostgreSQL + Auth (Supabase)</t>
  </si>
  <si>
    <t>Supabase</t>
  </si>
  <si>
    <t>Supabase Pro $25/mo incl. $10 compute credit</t>
  </si>
  <si>
    <t>Web frontend</t>
  </si>
  <si>
    <t>Vercel</t>
  </si>
  <si>
    <t>Vercel Pro $20/seat/mo for commercial use</t>
  </si>
  <si>
    <t>Cloud browser plan</t>
  </si>
  <si>
    <t>Browserbase</t>
  </si>
  <si>
    <t>Browser &amp; Search</t>
  </si>
  <si>
    <t>Developer $20/mo, 100 browser hours included (repo doc §11)</t>
  </si>
  <si>
    <t>Realtime voice plan</t>
  </si>
  <si>
    <t>LiveKit</t>
  </si>
  <si>
    <t>Voice (STT/TTS/Realtime)</t>
  </si>
  <si>
    <t>Build tier free (1,000 agent min, 5,000 WebRTC min). Ship $50/mo when you outgrow it</t>
  </si>
  <si>
    <t>TTS plan</t>
  </si>
  <si>
    <t>ElevenLabs</t>
  </si>
  <si>
    <t>Pay-as-you-go assumed; enter subscription if you take one</t>
  </si>
  <si>
    <t>Domain</t>
  </si>
  <si>
    <t>Registrar</t>
  </si>
  <si>
    <t>Domains &amp; App Stores</t>
  </si>
  <si>
    <t>~$15/yr</t>
  </si>
  <si>
    <t>Apple Developer Program</t>
  </si>
  <si>
    <t>Apple</t>
  </si>
  <si>
    <t>$99/yr, needed to ship the iOS app</t>
  </si>
  <si>
    <t>Transactional email / monitoring</t>
  </si>
  <si>
    <t>Various</t>
  </si>
  <si>
    <t>Software &amp; Tools</t>
  </si>
  <si>
    <t>Enter if you add e.g. Resend, Sentry</t>
  </si>
  <si>
    <t>Total fixed per month</t>
  </si>
  <si>
    <t>Rows 17-20 are spare - add new subscriptions there and the total picks them up.</t>
  </si>
  <si>
    <t>Expense log - one row per charge</t>
  </si>
  <si>
    <t>Add a row for every invoice/charge (card statement, provider invoice, app store fee). Category and Type are drop-downs. Row 5 is an EXAMPLE - overwrite or delete it.</t>
  </si>
  <si>
    <t>Date</t>
  </si>
  <si>
    <t>Description</t>
  </si>
  <si>
    <t>Type</t>
  </si>
  <si>
    <t>Billing period</t>
  </si>
  <si>
    <t>Amount (USD)</t>
  </si>
  <si>
    <t>Paid via</t>
  </si>
  <si>
    <t>Invoice / receipt link</t>
  </si>
  <si>
    <t>Notes</t>
  </si>
  <si>
    <t>EXAMPLE - Starter web service, October (replace or delete)</t>
  </si>
  <si>
    <t>Fixed</t>
  </si>
  <si>
    <t>Monthly</t>
  </si>
  <si>
    <t>Visa ...1234</t>
  </si>
  <si>
    <t>https://dashboard.render.com/billing</t>
  </si>
  <si>
    <t>Monthly summary (auto-filled from the Expense Log)</t>
  </si>
  <si>
    <t>Spend columns sum the log by month and category. Enter users and revenue each month (blue) to see real cost per user.</t>
  </si>
  <si>
    <t>Month</t>
  </si>
  <si>
    <t>AI Models (LLM)</t>
  </si>
  <si>
    <t>Payment Fees</t>
  </si>
  <si>
    <t>Marketing</t>
  </si>
  <si>
    <t>Other</t>
  </si>
  <si>
    <t>Total spend</t>
  </si>
  <si>
    <t>Active users</t>
  </si>
  <si>
    <t>Paying users</t>
  </si>
  <si>
    <t>Revenue ($)</t>
  </si>
  <si>
    <t>Cost per active user</t>
  </si>
  <si>
    <t>Cost per paying user</t>
  </si>
  <si>
    <t>Profit / (loss)</t>
  </si>
  <si>
    <t>12-month total</t>
  </si>
  <si>
    <t>Need more months? Copy row 16 down and change the date; the formulas carry over. Uncategorized log rows are not counted - pick a category for every expense.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</si>
</sst>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;&quot;-&quot;"/>
    <numFmt numFmtId="165" formatCode="\$#,##0.0000;\(\$#,##0.0000\);&quot;-&quot;"/>
    <numFmt numFmtId="166" formatCode="#,##0.00;\(#,##0.00\);&quot;-&quot;"/>
    <numFmt numFmtId="167" formatCode="\$#,##0.00;\(\$#,##0.00\);&quot;-&quot;"/>
    <numFmt numFmtId="168" formatCode="0.0%;\(0.0%\);&quot;-&quot;"/>
    <numFmt numFmtId="169" formatCode="\$#,##0.00000;\(\$#,##0.00000\);&quot;-&quot;"/>
    <numFmt numFmtId="170" formatCode="#,##0.0;\(#,##0.0\);&quot;-&quot;"/>
    <numFmt numFmtId="171" formatCode="yyyy\-mm\-dd"/>
    <numFmt numFmtId="172" formatCode="mmm\ yyyy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1"/>
      <color rgb="FF1F3864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rgb="FF1F3864"/>
      <name val="Arial"/>
    </font>
    <font>
      <b/>
      <sz val="10"/>
      <color rgb="FF000000"/>
      <name val="Arial"/>
    </font>
    <font>
      <sz val="10"/>
      <color rgb="FF008000"/>
      <name val="Arial"/>
    </font>
    <font>
      <b/>
      <sz val="10"/>
      <color rgb="FFC00000"/>
      <name val="Arial"/>
    </font>
    <font>
      <b/>
      <sz val="10"/>
      <color rgb="FF008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0" xfId="0" applyFont="1" applyFill="1"/>
    <xf numFmtId="0" fontId="0" fillId="3" borderId="0" xfId="0" applyFill="1"/>
    <xf numFmtId="167" fontId="11" fillId="6" borderId="0" xfId="0" applyNumberFormat="1" applyFont="1" applyFill="1"/>
    <xf numFmtId="167" fontId="9" fillId="0" borderId="0" xfId="0" applyNumberFormat="1" applyFont="1"/>
    <xf numFmtId="168" fontId="9" fillId="0" borderId="0" xfId="0" applyNumberFormat="1" applyFont="1"/>
    <xf numFmtId="0" fontId="9" fillId="0" borderId="0" xfId="0" applyFont="1"/>
    <xf numFmtId="0" fontId="5" fillId="0" borderId="0" xfId="0" applyFont="1"/>
    <xf numFmtId="0" fontId="6" fillId="0" borderId="0" xfId="0" applyFont="1"/>
    <xf numFmtId="0" fontId="5" fillId="4" borderId="0" xfId="0" applyFont="1" applyFill="1"/>
    <xf numFmtId="0" fontId="5" fillId="6" borderId="0" xfId="0" applyFont="1" applyFill="1"/>
    <xf numFmtId="0" fontId="3" fillId="2" borderId="0" xfId="0" applyFont="1" applyFill="1" applyAlignment="1">
      <alignment vertical="center" wrapText="1"/>
    </xf>
    <xf numFmtId="164" fontId="6" fillId="4" borderId="0" xfId="0" applyNumberFormat="1" applyFont="1" applyFill="1"/>
    <xf numFmtId="170" fontId="6" fillId="4" borderId="0" xfId="0" applyNumberFormat="1" applyFont="1" applyFill="1"/>
    <xf numFmtId="168" fontId="6" fillId="4" borderId="0" xfId="0" applyNumberFormat="1" applyFont="1" applyFill="1"/>
    <xf numFmtId="164" fontId="6" fillId="0" borderId="0" xfId="0" applyNumberFormat="1" applyFont="1"/>
    <xf numFmtId="167" fontId="5" fillId="0" borderId="0" xfId="0" applyNumberFormat="1" applyFont="1"/>
    <xf numFmtId="167" fontId="1" fillId="5" borderId="1" xfId="0" applyNumberFormat="1" applyFont="1" applyFill="1" applyBorder="1"/>
    <xf numFmtId="167" fontId="1" fillId="6" borderId="0" xfId="0" applyNumberFormat="1" applyFont="1" applyFill="1"/>
    <xf numFmtId="168" fontId="5" fillId="0" borderId="0" xfId="0" applyNumberFormat="1" applyFont="1"/>
    <xf numFmtId="167" fontId="1" fillId="5" borderId="0" xfId="0" applyNumberFormat="1" applyFont="1" applyFill="1"/>
    <xf numFmtId="168" fontId="6" fillId="0" borderId="0" xfId="0" applyNumberFormat="1" applyFont="1"/>
    <xf numFmtId="0" fontId="5" fillId="0" borderId="0" xfId="0" applyFont="1" applyAlignment="1">
      <alignment vertical="top" wrapText="1"/>
    </xf>
    <xf numFmtId="165" fontId="6" fillId="0" borderId="0" xfId="0" applyNumberFormat="1" applyFont="1"/>
    <xf numFmtId="166" fontId="6" fillId="0" borderId="0" xfId="0" applyNumberFormat="1" applyFont="1"/>
    <xf numFmtId="167" fontId="6" fillId="4" borderId="0" xfId="0" applyNumberFormat="1" applyFont="1" applyFill="1"/>
    <xf numFmtId="165" fontId="6" fillId="4" borderId="0" xfId="0" applyNumberFormat="1" applyFont="1" applyFill="1"/>
    <xf numFmtId="167" fontId="6" fillId="0" borderId="0" xfId="0" applyNumberFormat="1" applyFont="1"/>
    <xf numFmtId="166" fontId="5" fillId="0" borderId="0" xfId="0" applyNumberFormat="1" applyFont="1"/>
    <xf numFmtId="169" fontId="5" fillId="0" borderId="0" xfId="0" applyNumberFormat="1" applyFont="1"/>
    <xf numFmtId="0" fontId="1" fillId="5" borderId="0" xfId="0" applyFont="1" applyFill="1"/>
    <xf numFmtId="0" fontId="0" fillId="5" borderId="0" xfId="0" applyFill="1"/>
    <xf numFmtId="166" fontId="1" fillId="5" borderId="1" xfId="0" applyNumberFormat="1" applyFont="1" applyFill="1" applyBorder="1"/>
    <xf numFmtId="169" fontId="1" fillId="5" borderId="1" xfId="0" applyNumberFormat="1" applyFont="1" applyFill="1" applyBorder="1"/>
    <xf numFmtId="0" fontId="7" fillId="3" borderId="0" xfId="0" applyFont="1" applyFill="1"/>
    <xf numFmtId="170" fontId="5" fillId="0" borderId="0" xfId="0" applyNumberFormat="1" applyFont="1"/>
    <xf numFmtId="165" fontId="5" fillId="0" borderId="0" xfId="0" applyNumberFormat="1" applyFont="1"/>
    <xf numFmtId="164" fontId="5" fillId="0" borderId="0" xfId="0" applyNumberFormat="1" applyFont="1"/>
    <xf numFmtId="167" fontId="8" fillId="6" borderId="0" xfId="0" applyNumberFormat="1" applyFont="1" applyFill="1"/>
    <xf numFmtId="164" fontId="9" fillId="0" borderId="0" xfId="0" applyNumberFormat="1" applyFont="1"/>
    <xf numFmtId="0" fontId="1" fillId="0" borderId="1" xfId="0" applyFont="1" applyBorder="1"/>
    <xf numFmtId="168" fontId="1" fillId="5" borderId="1" xfId="0" applyNumberFormat="1" applyFont="1" applyFill="1" applyBorder="1"/>
    <xf numFmtId="164" fontId="1" fillId="5" borderId="1" xfId="0" applyNumberFormat="1" applyFont="1" applyFill="1" applyBorder="1"/>
    <xf numFmtId="0" fontId="1" fillId="5" borderId="1" xfId="0" applyFont="1" applyFill="1" applyBorder="1"/>
    <xf numFmtId="167" fontId="1" fillId="6" borderId="1" xfId="0" applyNumberFormat="1" applyFont="1" applyFill="1" applyBorder="1"/>
    <xf numFmtId="0" fontId="10" fillId="0" borderId="0" xfId="0" applyFont="1"/>
    <xf numFmtId="167" fontId="5" fillId="6" borderId="0" xfId="0" applyNumberFormat="1" applyFont="1" applyFill="1"/>
    <xf numFmtId="0" fontId="0" fillId="0" borderId="1" xfId="0" applyBorder="1"/>
    <xf numFmtId="171" fontId="6" fillId="0" borderId="0" xfId="0" applyNumberFormat="1" applyFont="1"/>
    <xf numFmtId="172" fontId="5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/>
  </sheetViews>
  <sheetFormatPr defaultRowHeight="14.4" x14ac:dyDescent="0.3"/>
  <cols>
    <col min="1" max="1" width="52" customWidth="1"/>
    <col min="2" max="2" width="60" customWidth="1"/>
    <col min="3" max="3" width="10" customWidth="1"/>
  </cols>
  <sheetData>
    <row r="1" spans="1:3" x14ac:dyDescent="0.3">
      <c r="A1" s="1" t="s">
        <v>0</v>
      </c>
    </row>
    <row r="2" spans="1:3" x14ac:dyDescent="0.3">
      <c r="A2" s="2" t="s">
        <v>1</v>
      </c>
    </row>
    <row r="4" spans="1:3" x14ac:dyDescent="0.3">
      <c r="A4" s="3" t="s">
        <v>2</v>
      </c>
      <c r="B4" s="4"/>
      <c r="C4" s="4"/>
    </row>
    <row r="5" spans="1:3" x14ac:dyDescent="0.3">
      <c r="A5" s="1" t="s">
        <v>3</v>
      </c>
      <c r="B5" s="5">
        <f>Pricing!B18</f>
        <v>10.99</v>
      </c>
    </row>
    <row r="6" spans="1:3" x14ac:dyDescent="0.3">
      <c r="A6" s="1" t="s">
        <v>4</v>
      </c>
      <c r="B6" s="6">
        <f>Pricing!B16</f>
        <v>2.8241359423274974</v>
      </c>
    </row>
    <row r="7" spans="1:3" x14ac:dyDescent="0.3">
      <c r="A7" s="1" t="s">
        <v>5</v>
      </c>
      <c r="B7" s="6">
        <f>Pricing!B14</f>
        <v>2.4422360000000003</v>
      </c>
    </row>
    <row r="8" spans="1:3" x14ac:dyDescent="0.3">
      <c r="A8" s="1" t="s">
        <v>6</v>
      </c>
      <c r="B8" s="7">
        <f>Pricing!B22</f>
        <v>0.72147898089171958</v>
      </c>
    </row>
    <row r="9" spans="1:3" x14ac:dyDescent="0.3">
      <c r="A9" s="1" t="s">
        <v>7</v>
      </c>
      <c r="B9" s="6">
        <f>paid_worst_case</f>
        <v>11.520000000000001</v>
      </c>
    </row>
    <row r="10" spans="1:3" x14ac:dyDescent="0.3">
      <c r="A10" s="1" t="s">
        <v>8</v>
      </c>
      <c r="B10" s="6">
        <f>fixed_launch</f>
        <v>134.5</v>
      </c>
    </row>
    <row r="11" spans="1:3" x14ac:dyDescent="0.3">
      <c r="A11" s="1" t="s">
        <v>9</v>
      </c>
      <c r="B11" s="8" t="str">
        <f>TEXT(credits_per_window,"0")&amp;" credits every "&amp;TEXT(window_hours,"0")&amp;" hours (worth $"&amp;TEXT(credits_per_window*usd_per_credit,"0.00")&amp;")"</f>
        <v>100 credits every 5 hours (worth $0.10)</v>
      </c>
    </row>
    <row r="13" spans="1:3" x14ac:dyDescent="0.3">
      <c r="A13" s="3" t="s">
        <v>10</v>
      </c>
      <c r="B13" s="4"/>
      <c r="C13" s="4"/>
    </row>
    <row r="14" spans="1:3" x14ac:dyDescent="0.3">
      <c r="A14" s="9" t="s">
        <v>11</v>
      </c>
    </row>
    <row r="15" spans="1:3" x14ac:dyDescent="0.3">
      <c r="A15" s="9" t="s">
        <v>12</v>
      </c>
    </row>
    <row r="16" spans="1:3" x14ac:dyDescent="0.3">
      <c r="A16" s="9" t="s">
        <v>13</v>
      </c>
    </row>
    <row r="17" spans="1:3" x14ac:dyDescent="0.3">
      <c r="A17" s="9" t="s">
        <v>14</v>
      </c>
    </row>
    <row r="18" spans="1:3" x14ac:dyDescent="0.3">
      <c r="A18" s="9" t="s">
        <v>15</v>
      </c>
    </row>
    <row r="19" spans="1:3" x14ac:dyDescent="0.3">
      <c r="A19" s="9" t="s">
        <v>16</v>
      </c>
    </row>
    <row r="21" spans="1:3" x14ac:dyDescent="0.3">
      <c r="A21" s="3" t="s">
        <v>17</v>
      </c>
      <c r="B21" s="4"/>
      <c r="C21" s="4"/>
    </row>
    <row r="22" spans="1:3" x14ac:dyDescent="0.3">
      <c r="A22" s="10" t="s">
        <v>18</v>
      </c>
      <c r="B22" s="9" t="s">
        <v>19</v>
      </c>
    </row>
    <row r="23" spans="1:3" x14ac:dyDescent="0.3">
      <c r="A23" s="9" t="s">
        <v>20</v>
      </c>
      <c r="B23" s="9" t="s">
        <v>21</v>
      </c>
    </row>
    <row r="24" spans="1:3" x14ac:dyDescent="0.3">
      <c r="A24" s="8" t="s">
        <v>22</v>
      </c>
      <c r="B24" s="9" t="s">
        <v>23</v>
      </c>
    </row>
    <row r="25" spans="1:3" x14ac:dyDescent="0.3">
      <c r="A25" s="11" t="s">
        <v>24</v>
      </c>
      <c r="B25" s="9" t="s">
        <v>25</v>
      </c>
    </row>
    <row r="26" spans="1:3" x14ac:dyDescent="0.3">
      <c r="A26" s="12" t="s">
        <v>26</v>
      </c>
      <c r="B26" s="9" t="s">
        <v>27</v>
      </c>
    </row>
    <row r="28" spans="1:3" x14ac:dyDescent="0.3">
      <c r="A28" s="3" t="s">
        <v>28</v>
      </c>
      <c r="B28" s="4"/>
      <c r="C28" s="4"/>
    </row>
    <row r="29" spans="1:3" x14ac:dyDescent="0.3">
      <c r="A29" s="9" t="s">
        <v>29</v>
      </c>
    </row>
    <row r="30" spans="1:3" x14ac:dyDescent="0.3">
      <c r="A30" s="9" t="s">
        <v>30</v>
      </c>
    </row>
    <row r="31" spans="1:3" x14ac:dyDescent="0.3">
      <c r="A31" s="9" t="s">
        <v>31</v>
      </c>
    </row>
    <row r="32" spans="1:3" x14ac:dyDescent="0.3">
      <c r="A32" s="9" t="s">
        <v>32</v>
      </c>
    </row>
    <row r="33" spans="1:1" x14ac:dyDescent="0.3">
      <c r="A33" s="9" t="s">
        <v>33</v>
      </c>
    </row>
    <row r="34" spans="1:1" x14ac:dyDescent="0.3">
      <c r="A34" s="9" t="s">
        <v>34</v>
      </c>
    </row>
    <row r="35" spans="1:1" x14ac:dyDescent="0.3">
      <c r="A35" s="9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/>
  </sheetViews>
  <sheetFormatPr defaultRowHeight="14.4" x14ac:dyDescent="0.3"/>
  <cols>
    <col min="1" max="1" width="46" customWidth="1"/>
    <col min="2" max="5" width="16" customWidth="1"/>
  </cols>
  <sheetData>
    <row r="1" spans="1:3" x14ac:dyDescent="0.3">
      <c r="A1" s="1" t="s">
        <v>36</v>
      </c>
    </row>
    <row r="2" spans="1:3" x14ac:dyDescent="0.3">
      <c r="A2" s="2" t="s">
        <v>37</v>
      </c>
    </row>
    <row r="4" spans="1:3" x14ac:dyDescent="0.3">
      <c r="A4" s="13" t="s">
        <v>38</v>
      </c>
      <c r="B4" s="13" t="s">
        <v>39</v>
      </c>
      <c r="C4" s="13" t="s">
        <v>40</v>
      </c>
    </row>
    <row r="5" spans="1:3" x14ac:dyDescent="0.3">
      <c r="A5" s="3" t="s">
        <v>41</v>
      </c>
      <c r="B5" s="4"/>
      <c r="C5" s="4"/>
    </row>
    <row r="6" spans="1:3" x14ac:dyDescent="0.3">
      <c r="A6" s="9" t="s">
        <v>42</v>
      </c>
      <c r="B6" s="14">
        <v>200</v>
      </c>
      <c r="C6" s="9" t="s">
        <v>43</v>
      </c>
    </row>
    <row r="7" spans="1:3" x14ac:dyDescent="0.3">
      <c r="A7" s="9" t="s">
        <v>44</v>
      </c>
      <c r="B7" s="15">
        <v>4</v>
      </c>
      <c r="C7" s="9" t="s">
        <v>45</v>
      </c>
    </row>
    <row r="8" spans="1:3" x14ac:dyDescent="0.3">
      <c r="A8" s="9" t="s">
        <v>46</v>
      </c>
      <c r="B8" s="16">
        <v>0.7</v>
      </c>
      <c r="C8" s="9" t="s">
        <v>47</v>
      </c>
    </row>
    <row r="9" spans="1:3" x14ac:dyDescent="0.3">
      <c r="A9" s="9" t="s">
        <v>48</v>
      </c>
      <c r="B9" s="17">
        <v>10</v>
      </c>
      <c r="C9" s="9" t="s">
        <v>49</v>
      </c>
    </row>
    <row r="10" spans="1:3" x14ac:dyDescent="0.3">
      <c r="A10" s="3" t="s">
        <v>50</v>
      </c>
      <c r="B10" s="4"/>
      <c r="C10" s="4"/>
    </row>
    <row r="11" spans="1:3" x14ac:dyDescent="0.3">
      <c r="A11" s="9" t="s">
        <v>51</v>
      </c>
      <c r="B11" s="6">
        <f>blended_var_cost</f>
        <v>1.6297360000000003</v>
      </c>
      <c r="C11" s="9" t="s">
        <v>52</v>
      </c>
    </row>
    <row r="12" spans="1:3" x14ac:dyDescent="0.3">
      <c r="A12" s="9" t="s">
        <v>53</v>
      </c>
      <c r="B12" s="18">
        <f>B7*free_user_cost</f>
        <v>0.14000000000000001</v>
      </c>
      <c r="C12" s="9" t="s">
        <v>54</v>
      </c>
    </row>
    <row r="13" spans="1:3" x14ac:dyDescent="0.3">
      <c r="A13" s="9" t="s">
        <v>55</v>
      </c>
      <c r="B13" s="18">
        <f>IF(B6=0,0,fixed_launch/B6)</f>
        <v>0.67249999999999999</v>
      </c>
      <c r="C13" s="9" t="s">
        <v>56</v>
      </c>
    </row>
    <row r="14" spans="1:3" x14ac:dyDescent="0.3">
      <c r="A14" s="1" t="s">
        <v>57</v>
      </c>
      <c r="B14" s="19">
        <f>SUM(B11:B13)</f>
        <v>2.4422360000000003</v>
      </c>
    </row>
    <row r="15" spans="1:3" x14ac:dyDescent="0.3">
      <c r="A15" s="3" t="s">
        <v>58</v>
      </c>
      <c r="B15" s="4"/>
      <c r="C15" s="4"/>
    </row>
    <row r="16" spans="1:3" x14ac:dyDescent="0.3">
      <c r="A16" s="9" t="s">
        <v>4</v>
      </c>
      <c r="B16" s="18">
        <f>(B14+stripe_fixed)/(1-stripe_pct)</f>
        <v>2.8241359423274974</v>
      </c>
      <c r="C16" s="9" t="s">
        <v>59</v>
      </c>
    </row>
    <row r="17" spans="1:7" x14ac:dyDescent="0.3">
      <c r="A17" s="9" t="s">
        <v>60</v>
      </c>
      <c r="B17" s="18">
        <f>(B14+stripe_fixed)/(1-stripe_pct-B8)</f>
        <v>10.118952029520296</v>
      </c>
    </row>
    <row r="18" spans="1:7" x14ac:dyDescent="0.3">
      <c r="A18" s="1" t="s">
        <v>61</v>
      </c>
      <c r="B18" s="20">
        <f>CEILING(B17,1)-0.01</f>
        <v>10.99</v>
      </c>
      <c r="C18" s="9" t="s">
        <v>62</v>
      </c>
    </row>
    <row r="19" spans="1:7" x14ac:dyDescent="0.3">
      <c r="A19" s="9" t="s">
        <v>63</v>
      </c>
      <c r="B19" s="18">
        <f>B18*B9</f>
        <v>109.9</v>
      </c>
    </row>
    <row r="20" spans="1:7" x14ac:dyDescent="0.3">
      <c r="A20" s="3" t="s">
        <v>64</v>
      </c>
      <c r="B20" s="4"/>
      <c r="C20" s="4"/>
    </row>
    <row r="21" spans="1:7" x14ac:dyDescent="0.3">
      <c r="A21" s="9" t="s">
        <v>65</v>
      </c>
      <c r="B21" s="18">
        <f>B18*(1-stripe_pct)-stripe_fixed</f>
        <v>10.371289999999998</v>
      </c>
    </row>
    <row r="22" spans="1:7" x14ac:dyDescent="0.3">
      <c r="A22" s="9" t="s">
        <v>66</v>
      </c>
      <c r="B22" s="21">
        <f>IF(B18=0,0,(B21-B14)/B18)</f>
        <v>0.72147898089171958</v>
      </c>
    </row>
    <row r="23" spans="1:7" x14ac:dyDescent="0.3">
      <c r="A23" s="9" t="s">
        <v>67</v>
      </c>
      <c r="B23" s="18">
        <f>B21-B14</f>
        <v>7.929053999999998</v>
      </c>
    </row>
    <row r="24" spans="1:7" x14ac:dyDescent="0.3">
      <c r="A24" s="9" t="s">
        <v>68</v>
      </c>
      <c r="B24" s="18">
        <f>B21-paid_worst_case-B12-B13</f>
        <v>-1.961210000000003</v>
      </c>
      <c r="C24" s="9" t="s">
        <v>69</v>
      </c>
    </row>
    <row r="25" spans="1:7" x14ac:dyDescent="0.3">
      <c r="A25" s="9" t="s">
        <v>70</v>
      </c>
      <c r="B25" s="22">
        <f>B23*B6</f>
        <v>1585.8107999999995</v>
      </c>
    </row>
    <row r="27" spans="1:7" x14ac:dyDescent="0.3">
      <c r="A27" s="3" t="s">
        <v>71</v>
      </c>
      <c r="B27" s="4"/>
      <c r="C27" s="4"/>
      <c r="D27" s="4"/>
      <c r="E27" s="4"/>
      <c r="F27" s="4"/>
      <c r="G27" s="4"/>
    </row>
    <row r="28" spans="1:7" x14ac:dyDescent="0.3">
      <c r="A28" s="13" t="s">
        <v>72</v>
      </c>
      <c r="B28" s="13" t="s">
        <v>73</v>
      </c>
      <c r="C28" s="13" t="s">
        <v>74</v>
      </c>
      <c r="D28" s="13" t="s">
        <v>75</v>
      </c>
      <c r="E28" s="13" t="s">
        <v>76</v>
      </c>
    </row>
    <row r="29" spans="1:7" x14ac:dyDescent="0.3">
      <c r="A29" s="2" t="s">
        <v>77</v>
      </c>
      <c r="B29" s="23">
        <v>0.5</v>
      </c>
      <c r="C29" s="23">
        <v>0.6</v>
      </c>
      <c r="D29" s="23">
        <v>0.7</v>
      </c>
      <c r="E29" s="23">
        <v>0.8</v>
      </c>
    </row>
    <row r="30" spans="1:7" x14ac:dyDescent="0.3">
      <c r="A30" s="17">
        <v>25</v>
      </c>
      <c r="B30" s="18">
        <f t="shared" ref="B30:E36" si="0">CEILING(($B$11+$B$12+fixed_launch/$A30+stripe_fixed)/(1-stripe_pct-B$29),1)-0.01</f>
        <v>15.99</v>
      </c>
      <c r="C30" s="18">
        <f t="shared" si="0"/>
        <v>20.99</v>
      </c>
      <c r="D30" s="18">
        <f t="shared" si="0"/>
        <v>27.99</v>
      </c>
      <c r="E30" s="18">
        <f t="shared" si="0"/>
        <v>43.99</v>
      </c>
    </row>
    <row r="31" spans="1:7" x14ac:dyDescent="0.3">
      <c r="A31" s="17">
        <v>50</v>
      </c>
      <c r="B31" s="18">
        <f t="shared" si="0"/>
        <v>10.99</v>
      </c>
      <c r="C31" s="18">
        <f t="shared" si="0"/>
        <v>12.99</v>
      </c>
      <c r="D31" s="18">
        <f t="shared" si="0"/>
        <v>17.989999999999998</v>
      </c>
      <c r="E31" s="18">
        <f t="shared" si="0"/>
        <v>27.99</v>
      </c>
    </row>
    <row r="32" spans="1:7" x14ac:dyDescent="0.3">
      <c r="A32" s="17">
        <v>100</v>
      </c>
      <c r="B32" s="18">
        <f t="shared" si="0"/>
        <v>7.99</v>
      </c>
      <c r="C32" s="18">
        <f t="shared" si="0"/>
        <v>9.99</v>
      </c>
      <c r="D32" s="18">
        <f t="shared" si="0"/>
        <v>12.99</v>
      </c>
      <c r="E32" s="18">
        <f t="shared" si="0"/>
        <v>19.989999999999998</v>
      </c>
    </row>
    <row r="33" spans="1:5" x14ac:dyDescent="0.3">
      <c r="A33" s="17">
        <v>200</v>
      </c>
      <c r="B33" s="18">
        <f t="shared" si="0"/>
        <v>5.99</v>
      </c>
      <c r="C33" s="18">
        <f t="shared" si="0"/>
        <v>7.99</v>
      </c>
      <c r="D33" s="18">
        <f t="shared" si="0"/>
        <v>10.99</v>
      </c>
      <c r="E33" s="18">
        <f t="shared" si="0"/>
        <v>16.989999999999998</v>
      </c>
    </row>
    <row r="34" spans="1:5" x14ac:dyDescent="0.3">
      <c r="A34" s="17">
        <v>500</v>
      </c>
      <c r="B34" s="18">
        <f t="shared" si="0"/>
        <v>4.99</v>
      </c>
      <c r="C34" s="18">
        <f t="shared" si="0"/>
        <v>6.99</v>
      </c>
      <c r="D34" s="18">
        <f t="shared" si="0"/>
        <v>8.99</v>
      </c>
      <c r="E34" s="18">
        <f t="shared" si="0"/>
        <v>13.99</v>
      </c>
    </row>
    <row r="35" spans="1:5" x14ac:dyDescent="0.3">
      <c r="A35" s="17">
        <v>1000</v>
      </c>
      <c r="B35" s="18">
        <f t="shared" si="0"/>
        <v>4.99</v>
      </c>
      <c r="C35" s="18">
        <f t="shared" si="0"/>
        <v>5.99</v>
      </c>
      <c r="D35" s="18">
        <f t="shared" si="0"/>
        <v>8.99</v>
      </c>
      <c r="E35" s="18">
        <f t="shared" si="0"/>
        <v>12.99</v>
      </c>
    </row>
    <row r="36" spans="1:5" x14ac:dyDescent="0.3">
      <c r="A36" s="17">
        <v>5000</v>
      </c>
      <c r="B36" s="18">
        <f t="shared" si="0"/>
        <v>4.99</v>
      </c>
      <c r="C36" s="18">
        <f t="shared" si="0"/>
        <v>5.99</v>
      </c>
      <c r="D36" s="18">
        <f t="shared" si="0"/>
        <v>7.99</v>
      </c>
      <c r="E36" s="18">
        <f t="shared" si="0"/>
        <v>12.99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44" customWidth="1"/>
    <col min="2" max="2" width="14" customWidth="1"/>
    <col min="3" max="3" width="22" customWidth="1"/>
    <col min="4" max="4" width="90" customWidth="1"/>
  </cols>
  <sheetData>
    <row r="1" spans="1:4" x14ac:dyDescent="0.3">
      <c r="A1" s="1" t="s">
        <v>78</v>
      </c>
    </row>
    <row r="2" spans="1:4" x14ac:dyDescent="0.3">
      <c r="A2" s="2" t="s">
        <v>79</v>
      </c>
    </row>
    <row r="3" spans="1:4" x14ac:dyDescent="0.3">
      <c r="A3" s="13" t="s">
        <v>80</v>
      </c>
      <c r="B3" s="13" t="s">
        <v>39</v>
      </c>
      <c r="C3" s="13" t="s">
        <v>81</v>
      </c>
      <c r="D3" s="13" t="s">
        <v>82</v>
      </c>
    </row>
    <row r="4" spans="1:4" x14ac:dyDescent="0.3">
      <c r="A4" s="3" t="s">
        <v>83</v>
      </c>
      <c r="B4" s="4"/>
      <c r="C4" s="4"/>
      <c r="D4" s="4"/>
    </row>
    <row r="5" spans="1:4" ht="26.4" x14ac:dyDescent="0.3">
      <c r="A5" s="9" t="s">
        <v>84</v>
      </c>
      <c r="B5" s="17">
        <v>100</v>
      </c>
      <c r="C5" s="9" t="s">
        <v>85</v>
      </c>
      <c r="D5" s="24" t="s">
        <v>86</v>
      </c>
    </row>
    <row r="6" spans="1:4" ht="26.4" x14ac:dyDescent="0.3">
      <c r="A6" s="9" t="s">
        <v>87</v>
      </c>
      <c r="B6" s="14">
        <v>100</v>
      </c>
      <c r="C6" s="9" t="s">
        <v>85</v>
      </c>
      <c r="D6" s="24" t="s">
        <v>88</v>
      </c>
    </row>
    <row r="7" spans="1:4" x14ac:dyDescent="0.3">
      <c r="A7" s="9" t="s">
        <v>89</v>
      </c>
      <c r="B7" s="25">
        <v>1E-3</v>
      </c>
      <c r="C7" s="9" t="s">
        <v>90</v>
      </c>
      <c r="D7" s="24" t="s">
        <v>91</v>
      </c>
    </row>
    <row r="8" spans="1:4" x14ac:dyDescent="0.3">
      <c r="A8" s="9" t="s">
        <v>92</v>
      </c>
      <c r="B8" s="17">
        <v>5</v>
      </c>
      <c r="C8" s="9" t="s">
        <v>93</v>
      </c>
      <c r="D8" s="24" t="s">
        <v>94</v>
      </c>
    </row>
    <row r="9" spans="1:4" x14ac:dyDescent="0.3">
      <c r="A9" s="9" t="s">
        <v>95</v>
      </c>
      <c r="B9" s="17">
        <v>30</v>
      </c>
      <c r="C9" s="9" t="s">
        <v>96</v>
      </c>
      <c r="D9" s="24" t="s">
        <v>97</v>
      </c>
    </row>
    <row r="10" spans="1:4" x14ac:dyDescent="0.3">
      <c r="A10" s="9" t="s">
        <v>98</v>
      </c>
      <c r="B10" s="26">
        <v>1.25</v>
      </c>
      <c r="C10" s="9" t="s">
        <v>99</v>
      </c>
      <c r="D10" s="24" t="s">
        <v>100</v>
      </c>
    </row>
    <row r="11" spans="1:4" x14ac:dyDescent="0.3">
      <c r="A11" s="3" t="s">
        <v>101</v>
      </c>
      <c r="B11" s="4"/>
      <c r="C11" s="4"/>
      <c r="D11" s="4"/>
    </row>
    <row r="12" spans="1:4" x14ac:dyDescent="0.3">
      <c r="A12" s="9" t="s">
        <v>102</v>
      </c>
      <c r="B12" s="26">
        <v>0.5</v>
      </c>
      <c r="C12" s="9" t="s">
        <v>103</v>
      </c>
      <c r="D12" s="24" t="s">
        <v>104</v>
      </c>
    </row>
    <row r="13" spans="1:4" x14ac:dyDescent="0.3">
      <c r="A13" s="9" t="s">
        <v>105</v>
      </c>
      <c r="B13" s="26">
        <v>0.1</v>
      </c>
      <c r="C13" s="9" t="s">
        <v>103</v>
      </c>
      <c r="D13" s="24" t="s">
        <v>106</v>
      </c>
    </row>
    <row r="14" spans="1:4" x14ac:dyDescent="0.3">
      <c r="A14" s="9" t="s">
        <v>107</v>
      </c>
      <c r="B14" s="26">
        <v>2</v>
      </c>
      <c r="C14" s="9" t="s">
        <v>103</v>
      </c>
      <c r="D14" s="24" t="s">
        <v>108</v>
      </c>
    </row>
    <row r="15" spans="1:4" x14ac:dyDescent="0.3">
      <c r="A15" s="9" t="s">
        <v>109</v>
      </c>
      <c r="B15" s="26">
        <v>10</v>
      </c>
      <c r="C15" s="9" t="s">
        <v>110</v>
      </c>
      <c r="D15" s="24" t="s">
        <v>111</v>
      </c>
    </row>
    <row r="16" spans="1:4" x14ac:dyDescent="0.3">
      <c r="A16" s="9" t="s">
        <v>112</v>
      </c>
      <c r="B16" s="26">
        <v>60</v>
      </c>
      <c r="C16" s="9" t="s">
        <v>113</v>
      </c>
      <c r="D16" s="24" t="s">
        <v>111</v>
      </c>
    </row>
    <row r="17" spans="1:4" x14ac:dyDescent="0.3">
      <c r="A17" s="9" t="s">
        <v>114</v>
      </c>
      <c r="B17" s="26">
        <v>15</v>
      </c>
      <c r="C17" s="9" t="s">
        <v>115</v>
      </c>
      <c r="D17" s="24" t="s">
        <v>111</v>
      </c>
    </row>
    <row r="18" spans="1:4" x14ac:dyDescent="0.3">
      <c r="A18" s="9" t="s">
        <v>116</v>
      </c>
      <c r="B18" s="26">
        <v>5</v>
      </c>
      <c r="C18" s="9" t="s">
        <v>117</v>
      </c>
      <c r="D18" s="24" t="s">
        <v>111</v>
      </c>
    </row>
    <row r="19" spans="1:4" x14ac:dyDescent="0.3">
      <c r="A19" s="3" t="s">
        <v>118</v>
      </c>
      <c r="B19" s="4"/>
      <c r="C19" s="4"/>
      <c r="D19" s="4"/>
    </row>
    <row r="20" spans="1:4" x14ac:dyDescent="0.3">
      <c r="A20" s="9" t="s">
        <v>119</v>
      </c>
      <c r="B20" s="27">
        <v>0.1</v>
      </c>
      <c r="C20" s="9" t="s">
        <v>120</v>
      </c>
      <c r="D20" s="24" t="s">
        <v>121</v>
      </c>
    </row>
    <row r="21" spans="1:4" x14ac:dyDescent="0.3">
      <c r="A21" s="9" t="s">
        <v>122</v>
      </c>
      <c r="B21" s="27">
        <v>0.5</v>
      </c>
      <c r="C21" s="9" t="s">
        <v>120</v>
      </c>
      <c r="D21" s="24" t="s">
        <v>121</v>
      </c>
    </row>
    <row r="22" spans="1:4" x14ac:dyDescent="0.3">
      <c r="A22" s="9" t="s">
        <v>123</v>
      </c>
      <c r="B22" s="27">
        <v>0.01</v>
      </c>
      <c r="C22" s="9" t="s">
        <v>120</v>
      </c>
      <c r="D22" s="24" t="s">
        <v>121</v>
      </c>
    </row>
    <row r="23" spans="1:4" x14ac:dyDescent="0.3">
      <c r="A23" s="9" t="s">
        <v>124</v>
      </c>
      <c r="B23" s="28">
        <v>6.4999999999999997E-3</v>
      </c>
      <c r="C23" s="9" t="s">
        <v>125</v>
      </c>
      <c r="D23" s="24" t="s">
        <v>126</v>
      </c>
    </row>
    <row r="24" spans="1:4" ht="26.4" x14ac:dyDescent="0.3">
      <c r="A24" s="9" t="s">
        <v>127</v>
      </c>
      <c r="B24" s="28">
        <v>0.05</v>
      </c>
      <c r="C24" s="9" t="s">
        <v>128</v>
      </c>
      <c r="D24" s="24" t="s">
        <v>129</v>
      </c>
    </row>
    <row r="25" spans="1:4" x14ac:dyDescent="0.3">
      <c r="A25" s="9" t="s">
        <v>130</v>
      </c>
      <c r="B25" s="28">
        <v>0.01</v>
      </c>
      <c r="C25" s="9" t="s">
        <v>131</v>
      </c>
      <c r="D25" s="24" t="s">
        <v>132</v>
      </c>
    </row>
    <row r="26" spans="1:4" x14ac:dyDescent="0.3">
      <c r="A26" s="9" t="s">
        <v>133</v>
      </c>
      <c r="B26" s="28">
        <v>5.0000000000000001E-4</v>
      </c>
      <c r="C26" s="9" t="s">
        <v>134</v>
      </c>
      <c r="D26" s="24" t="s">
        <v>135</v>
      </c>
    </row>
    <row r="27" spans="1:4" x14ac:dyDescent="0.3">
      <c r="A27" s="9" t="s">
        <v>136</v>
      </c>
      <c r="B27" s="17">
        <v>2</v>
      </c>
      <c r="C27" s="9" t="s">
        <v>137</v>
      </c>
      <c r="D27" s="24" t="s">
        <v>138</v>
      </c>
    </row>
    <row r="28" spans="1:4" x14ac:dyDescent="0.3">
      <c r="A28" s="9" t="s">
        <v>139</v>
      </c>
      <c r="B28" s="28">
        <v>2E-3</v>
      </c>
      <c r="C28" s="9" t="s">
        <v>140</v>
      </c>
      <c r="D28" s="24" t="s">
        <v>141</v>
      </c>
    </row>
    <row r="29" spans="1:4" x14ac:dyDescent="0.3">
      <c r="A29" s="9" t="s">
        <v>142</v>
      </c>
      <c r="B29" s="28">
        <v>7.0000000000000001E-3</v>
      </c>
      <c r="C29" s="9" t="s">
        <v>143</v>
      </c>
      <c r="D29" s="24" t="s">
        <v>144</v>
      </c>
    </row>
    <row r="30" spans="1:4" x14ac:dyDescent="0.3">
      <c r="A30" s="9" t="s">
        <v>145</v>
      </c>
      <c r="B30" s="23">
        <v>2.9000000000000001E-2</v>
      </c>
      <c r="C30" s="9" t="s">
        <v>146</v>
      </c>
      <c r="D30" s="24" t="s">
        <v>147</v>
      </c>
    </row>
    <row r="31" spans="1:4" x14ac:dyDescent="0.3">
      <c r="A31" s="9" t="s">
        <v>148</v>
      </c>
      <c r="B31" s="29">
        <v>0.3</v>
      </c>
      <c r="C31" s="9" t="s">
        <v>149</v>
      </c>
      <c r="D31" s="24" t="s">
        <v>150</v>
      </c>
    </row>
    <row r="32" spans="1:4" x14ac:dyDescent="0.3">
      <c r="A32" s="3" t="s">
        <v>151</v>
      </c>
      <c r="B32" s="4"/>
      <c r="C32" s="4"/>
      <c r="D32" s="4"/>
    </row>
    <row r="33" spans="1:4" x14ac:dyDescent="0.3">
      <c r="A33" s="9" t="s">
        <v>152</v>
      </c>
      <c r="B33" s="17">
        <v>4000</v>
      </c>
      <c r="C33" s="9" t="s">
        <v>153</v>
      </c>
      <c r="D33" s="24" t="s">
        <v>154</v>
      </c>
    </row>
    <row r="34" spans="1:4" x14ac:dyDescent="0.3">
      <c r="A34" s="9" t="s">
        <v>155</v>
      </c>
      <c r="B34" s="17">
        <v>800</v>
      </c>
      <c r="C34" s="9" t="s">
        <v>153</v>
      </c>
      <c r="D34" s="24" t="s">
        <v>156</v>
      </c>
    </row>
    <row r="35" spans="1:4" x14ac:dyDescent="0.3">
      <c r="A35" s="9" t="s">
        <v>157</v>
      </c>
      <c r="B35" s="23">
        <v>0</v>
      </c>
      <c r="C35" s="9" t="s">
        <v>158</v>
      </c>
      <c r="D35" s="24" t="s">
        <v>159</v>
      </c>
    </row>
    <row r="36" spans="1:4" x14ac:dyDescent="0.3">
      <c r="A36" s="9" t="s">
        <v>160</v>
      </c>
      <c r="B36" s="26">
        <v>1</v>
      </c>
      <c r="C36" s="9" t="s">
        <v>161</v>
      </c>
      <c r="D36" s="24" t="s">
        <v>162</v>
      </c>
    </row>
    <row r="37" spans="1:4" x14ac:dyDescent="0.3">
      <c r="A37" s="9" t="s">
        <v>163</v>
      </c>
      <c r="B37" s="17">
        <v>450</v>
      </c>
      <c r="C37" s="9" t="s">
        <v>164</v>
      </c>
      <c r="D37" s="24" t="s">
        <v>156</v>
      </c>
    </row>
    <row r="38" spans="1:4" x14ac:dyDescent="0.3">
      <c r="A38" s="9" t="s">
        <v>165</v>
      </c>
      <c r="B38" s="26">
        <v>1</v>
      </c>
      <c r="C38" s="9" t="s">
        <v>166</v>
      </c>
      <c r="D38" s="24" t="s">
        <v>156</v>
      </c>
    </row>
    <row r="39" spans="1:4" x14ac:dyDescent="0.3">
      <c r="A39" s="9" t="s">
        <v>167</v>
      </c>
      <c r="B39" s="26">
        <v>1.67</v>
      </c>
      <c r="C39" s="9" t="s">
        <v>168</v>
      </c>
      <c r="D39" s="24" t="s">
        <v>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44" customWidth="1"/>
    <col min="3" max="3" width="14" customWidth="1"/>
    <col min="4" max="4" width="16" customWidth="1"/>
    <col min="5" max="6" width="18" customWidth="1"/>
    <col min="7" max="7" width="22" customWidth="1"/>
  </cols>
  <sheetData>
    <row r="1" spans="1:7" x14ac:dyDescent="0.3">
      <c r="A1" s="1" t="s">
        <v>170</v>
      </c>
    </row>
    <row r="2" spans="1:7" x14ac:dyDescent="0.3">
      <c r="A2" s="2" t="s">
        <v>171</v>
      </c>
    </row>
    <row r="4" spans="1:7" ht="26.4" x14ac:dyDescent="0.3">
      <c r="A4" s="13" t="s">
        <v>172</v>
      </c>
      <c r="B4" s="13" t="s">
        <v>173</v>
      </c>
      <c r="C4" s="13" t="s">
        <v>174</v>
      </c>
      <c r="D4" s="13" t="s">
        <v>175</v>
      </c>
      <c r="E4" s="13" t="s">
        <v>176</v>
      </c>
      <c r="F4" s="13" t="s">
        <v>177</v>
      </c>
      <c r="G4" s="13" t="s">
        <v>178</v>
      </c>
    </row>
    <row r="5" spans="1:7" x14ac:dyDescent="0.3">
      <c r="A5" s="9" t="s">
        <v>179</v>
      </c>
      <c r="B5" s="9" t="s">
        <v>180</v>
      </c>
      <c r="C5" s="30">
        <v>1</v>
      </c>
      <c r="D5" s="30">
        <f>C5*(tokens_in*(1-cached_share)*ref_in+tokens_in*cached_share*ref_cached+tokens_out*ref_out)/1000</f>
        <v>3.6</v>
      </c>
      <c r="E5" s="31">
        <f>C5*(tokens_in*(1-cached_share)*llm_in+tokens_in*cached_share*llm_cache+tokens_out*llm_out)/1000000</f>
        <v>8.0000000000000004E-4</v>
      </c>
      <c r="F5" s="30">
        <f>MAX(D5,E5*safety_mult/usd_per_credit)</f>
        <v>3.6</v>
      </c>
      <c r="G5" s="31">
        <f>F5*usd_per_credit</f>
        <v>3.6000000000000003E-3</v>
      </c>
    </row>
    <row r="6" spans="1:7" x14ac:dyDescent="0.3">
      <c r="A6" s="32" t="s">
        <v>181</v>
      </c>
      <c r="B6" s="33"/>
      <c r="C6" s="33"/>
      <c r="D6" s="34">
        <f>SUM(D5:D5)</f>
        <v>3.6</v>
      </c>
      <c r="E6" s="35">
        <f>SUM(E5:E5)</f>
        <v>8.0000000000000004E-4</v>
      </c>
      <c r="F6" s="34">
        <f>SUM(F5:F5)</f>
        <v>3.6</v>
      </c>
      <c r="G6" s="35">
        <f>SUM(G5:G5)</f>
        <v>3.6000000000000003E-3</v>
      </c>
    </row>
    <row r="8" spans="1:7" x14ac:dyDescent="0.3">
      <c r="A8" s="9" t="s">
        <v>182</v>
      </c>
      <c r="B8" s="9" t="s">
        <v>183</v>
      </c>
      <c r="C8" s="30">
        <f>voice_stt_min</f>
        <v>1</v>
      </c>
      <c r="D8" s="30">
        <f>C8*ref_stt</f>
        <v>10</v>
      </c>
      <c r="E8" s="31">
        <f>C8*stt_rate</f>
        <v>6.4999999999999997E-3</v>
      </c>
      <c r="F8" s="30">
        <f>MAX(D8,E8*safety_mult/usd_per_credit)</f>
        <v>10</v>
      </c>
      <c r="G8" s="31">
        <f>F8*usd_per_credit</f>
        <v>0.01</v>
      </c>
    </row>
    <row r="9" spans="1:7" x14ac:dyDescent="0.3">
      <c r="A9" s="9" t="s">
        <v>182</v>
      </c>
      <c r="B9" s="9" t="s">
        <v>184</v>
      </c>
      <c r="C9" s="30">
        <f>voice_chars</f>
        <v>450</v>
      </c>
      <c r="D9" s="30">
        <f>C9/1000*ref_tts</f>
        <v>27</v>
      </c>
      <c r="E9" s="31">
        <f>C9/1000*tts_rate</f>
        <v>2.2500000000000003E-2</v>
      </c>
      <c r="F9" s="30">
        <f>MAX(D9,E9*safety_mult/usd_per_credit)</f>
        <v>28.125000000000004</v>
      </c>
      <c r="G9" s="31">
        <f>F9*usd_per_credit</f>
        <v>2.8125000000000004E-2</v>
      </c>
    </row>
    <row r="10" spans="1:7" x14ac:dyDescent="0.3">
      <c r="A10" s="9" t="s">
        <v>182</v>
      </c>
      <c r="B10" s="9" t="s">
        <v>185</v>
      </c>
      <c r="C10" s="30">
        <v>1</v>
      </c>
      <c r="D10" s="30">
        <f>C10*ref_voice</f>
        <v>15</v>
      </c>
      <c r="E10" s="31">
        <f>C10*(lk_agent+lk_webrtc*lk_participants)</f>
        <v>1.0999999999999999E-2</v>
      </c>
      <c r="F10" s="30">
        <f>MAX(D10,E10*safety_mult/usd_per_credit)</f>
        <v>15</v>
      </c>
      <c r="G10" s="31">
        <f>F10*usd_per_credit</f>
        <v>1.4999999999999999E-2</v>
      </c>
    </row>
    <row r="11" spans="1:7" x14ac:dyDescent="0.3">
      <c r="A11" s="9" t="s">
        <v>182</v>
      </c>
      <c r="B11" s="9" t="s">
        <v>186</v>
      </c>
      <c r="C11" s="30">
        <f>voice_turns</f>
        <v>1</v>
      </c>
      <c r="D11" s="30">
        <f>C11*$D$6</f>
        <v>3.6</v>
      </c>
      <c r="E11" s="31">
        <f>C11*$E$6</f>
        <v>8.0000000000000004E-4</v>
      </c>
      <c r="F11" s="30">
        <f>C11*$F$6</f>
        <v>3.6</v>
      </c>
      <c r="G11" s="31">
        <f>F11*usd_per_credit</f>
        <v>3.6000000000000003E-3</v>
      </c>
    </row>
    <row r="12" spans="1:7" x14ac:dyDescent="0.3">
      <c r="A12" s="32" t="s">
        <v>187</v>
      </c>
      <c r="B12" s="33"/>
      <c r="C12" s="33"/>
      <c r="D12" s="34">
        <f>SUM(D8:D11)</f>
        <v>55.6</v>
      </c>
      <c r="E12" s="35">
        <f>SUM(E8:E11)</f>
        <v>4.0800000000000003E-2</v>
      </c>
      <c r="F12" s="34">
        <f>SUM(F8:F11)</f>
        <v>56.725000000000001</v>
      </c>
      <c r="G12" s="35">
        <f>SUM(G8:G11)</f>
        <v>5.6725000000000005E-2</v>
      </c>
    </row>
    <row r="14" spans="1:7" x14ac:dyDescent="0.3">
      <c r="A14" s="9" t="s">
        <v>188</v>
      </c>
      <c r="B14" s="9" t="s">
        <v>189</v>
      </c>
      <c r="C14" s="30">
        <v>1</v>
      </c>
      <c r="D14" s="30">
        <f>C14*ref_browser</f>
        <v>5</v>
      </c>
      <c r="E14" s="31">
        <f>C14*bb_rate</f>
        <v>2E-3</v>
      </c>
      <c r="F14" s="30">
        <f>MAX(D14,E14*safety_mult/usd_per_credit)</f>
        <v>5</v>
      </c>
      <c r="G14" s="31">
        <f>F14*usd_per_credit</f>
        <v>5.0000000000000001E-3</v>
      </c>
    </row>
    <row r="15" spans="1:7" x14ac:dyDescent="0.3">
      <c r="A15" s="9" t="s">
        <v>188</v>
      </c>
      <c r="B15" s="9" t="s">
        <v>190</v>
      </c>
      <c r="C15" s="30">
        <f>browser_calls</f>
        <v>1.67</v>
      </c>
      <c r="D15" s="30">
        <f>C15*$D$6</f>
        <v>6.0119999999999996</v>
      </c>
      <c r="E15" s="31">
        <f>C15*$E$6</f>
        <v>1.3359999999999999E-3</v>
      </c>
      <c r="F15" s="30">
        <f>C15*$F$6</f>
        <v>6.0119999999999996</v>
      </c>
      <c r="G15" s="31">
        <f>F15*usd_per_credit</f>
        <v>6.012E-3</v>
      </c>
    </row>
    <row r="16" spans="1:7" x14ac:dyDescent="0.3">
      <c r="A16" s="32" t="s">
        <v>191</v>
      </c>
      <c r="B16" s="33"/>
      <c r="C16" s="33"/>
      <c r="D16" s="34">
        <f>SUM(D14:D15)</f>
        <v>11.012</v>
      </c>
      <c r="E16" s="35">
        <f>SUM(E14:E15)</f>
        <v>3.336E-3</v>
      </c>
      <c r="F16" s="34">
        <f>SUM(F14:F15)</f>
        <v>11.012</v>
      </c>
      <c r="G16" s="35">
        <f>SUM(G14:G15)</f>
        <v>1.1012000000000001E-2</v>
      </c>
    </row>
    <row r="18" spans="1:7" x14ac:dyDescent="0.3">
      <c r="A18" s="9" t="s">
        <v>192</v>
      </c>
      <c r="B18" s="9" t="s">
        <v>193</v>
      </c>
      <c r="C18" s="30">
        <v>1</v>
      </c>
      <c r="D18" s="30">
        <v>0</v>
      </c>
      <c r="E18" s="31">
        <f>C18*exa_rate</f>
        <v>7.0000000000000001E-3</v>
      </c>
      <c r="F18" s="30">
        <f>MAX(D18,E18*safety_mult/usd_per_credit)</f>
        <v>8.75</v>
      </c>
      <c r="G18" s="31">
        <f>F18*usd_per_credit</f>
        <v>8.7500000000000008E-3</v>
      </c>
    </row>
    <row r="19" spans="1:7" x14ac:dyDescent="0.3">
      <c r="A19" s="32" t="s">
        <v>194</v>
      </c>
      <c r="B19" s="33"/>
      <c r="C19" s="33"/>
      <c r="D19" s="34">
        <f>SUM(D18:D18)</f>
        <v>0</v>
      </c>
      <c r="E19" s="35">
        <f>SUM(E18:E18)</f>
        <v>7.0000000000000001E-3</v>
      </c>
      <c r="F19" s="34">
        <f>SUM(F18:F18)</f>
        <v>8.75</v>
      </c>
      <c r="G19" s="35">
        <f>SUM(G18:G18)</f>
        <v>8.7500000000000008E-3</v>
      </c>
    </row>
    <row r="21" spans="1:7" x14ac:dyDescent="0.3">
      <c r="A21" s="36" t="s">
        <v>195</v>
      </c>
      <c r="B21" s="4"/>
      <c r="C21" s="4"/>
      <c r="D21" s="4"/>
      <c r="E21" s="4"/>
      <c r="F21" s="4"/>
      <c r="G21" s="4"/>
    </row>
    <row r="22" spans="1:7" ht="39.6" x14ac:dyDescent="0.3">
      <c r="A22" s="13" t="s">
        <v>172</v>
      </c>
      <c r="B22" s="13" t="s">
        <v>196</v>
      </c>
      <c r="C22" s="13" t="s">
        <v>197</v>
      </c>
      <c r="D22" s="13" t="s">
        <v>198</v>
      </c>
      <c r="E22" s="13" t="s">
        <v>199</v>
      </c>
      <c r="F22" s="13" t="s">
        <v>200</v>
      </c>
      <c r="G22" s="13" t="s">
        <v>201</v>
      </c>
    </row>
    <row r="23" spans="1:7" x14ac:dyDescent="0.3">
      <c r="A23" s="1" t="s">
        <v>179</v>
      </c>
      <c r="B23" s="30">
        <f>F6</f>
        <v>3.6</v>
      </c>
      <c r="C23" s="31">
        <f>E6</f>
        <v>8.0000000000000004E-4</v>
      </c>
      <c r="D23" s="31">
        <f>G6</f>
        <v>3.6000000000000003E-3</v>
      </c>
      <c r="E23" s="37">
        <f>IF(B23=0,0,credits_per_window/B23)</f>
        <v>27.777777777777779</v>
      </c>
      <c r="F23" s="38">
        <f>E23*C23</f>
        <v>2.2222222222222223E-2</v>
      </c>
      <c r="G23" s="21">
        <f>IF(D23=0,0,C23/D23)</f>
        <v>0.22222222222222221</v>
      </c>
    </row>
    <row r="24" spans="1:7" x14ac:dyDescent="0.3">
      <c r="A24" s="1" t="s">
        <v>182</v>
      </c>
      <c r="B24" s="30">
        <f>F12</f>
        <v>56.725000000000001</v>
      </c>
      <c r="C24" s="31">
        <f>E12</f>
        <v>4.0800000000000003E-2</v>
      </c>
      <c r="D24" s="31">
        <f>G12</f>
        <v>5.6725000000000005E-2</v>
      </c>
      <c r="E24" s="37">
        <f>IF(B24=0,0,credits_per_window/B24)</f>
        <v>1.7628911414720141</v>
      </c>
      <c r="F24" s="38">
        <f>E24*C24</f>
        <v>7.1925958572058177E-2</v>
      </c>
      <c r="G24" s="21">
        <f>IF(D24=0,0,C24/D24)</f>
        <v>0.7192595857205818</v>
      </c>
    </row>
    <row r="25" spans="1:7" x14ac:dyDescent="0.3">
      <c r="A25" s="1" t="s">
        <v>188</v>
      </c>
      <c r="B25" s="30">
        <f>F16</f>
        <v>11.012</v>
      </c>
      <c r="C25" s="31">
        <f>E16</f>
        <v>3.336E-3</v>
      </c>
      <c r="D25" s="31">
        <f>G16</f>
        <v>1.1012000000000001E-2</v>
      </c>
      <c r="E25" s="37">
        <f>IF(B25=0,0,credits_per_window/B25)</f>
        <v>9.0810025426807108</v>
      </c>
      <c r="F25" s="38">
        <f>E25*C25</f>
        <v>3.029422448238285E-2</v>
      </c>
      <c r="G25" s="21">
        <f>IF(D25=0,0,C25/D25)</f>
        <v>0.30294224482382853</v>
      </c>
    </row>
    <row r="26" spans="1:7" x14ac:dyDescent="0.3">
      <c r="A26" s="1" t="s">
        <v>192</v>
      </c>
      <c r="B26" s="30">
        <f>F19</f>
        <v>8.75</v>
      </c>
      <c r="C26" s="31">
        <f>E19</f>
        <v>7.0000000000000001E-3</v>
      </c>
      <c r="D26" s="31">
        <f>G19</f>
        <v>8.7500000000000008E-3</v>
      </c>
      <c r="E26" s="37">
        <f>IF(B26=0,0,credits_per_window/B26)</f>
        <v>11.428571428571429</v>
      </c>
      <c r="F26" s="38">
        <f>E26*C26</f>
        <v>0.08</v>
      </c>
      <c r="G26" s="21">
        <f>IF(D26=0,0,C26/D26)</f>
        <v>0.79999999999999993</v>
      </c>
    </row>
    <row r="28" spans="1:7" x14ac:dyDescent="0.3">
      <c r="A28" s="2" t="s">
        <v>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44" customWidth="1"/>
    <col min="2" max="3" width="16" customWidth="1"/>
    <col min="4" max="4" width="95" customWidth="1"/>
  </cols>
  <sheetData>
    <row r="1" spans="1:4" x14ac:dyDescent="0.3">
      <c r="A1" s="1" t="s">
        <v>203</v>
      </c>
    </row>
    <row r="2" spans="1:4" x14ac:dyDescent="0.3">
      <c r="A2" s="2" t="s">
        <v>204</v>
      </c>
    </row>
    <row r="4" spans="1:4" x14ac:dyDescent="0.3">
      <c r="A4" s="13" t="s">
        <v>205</v>
      </c>
      <c r="B4" s="13" t="s">
        <v>206</v>
      </c>
      <c r="C4" s="13" t="s">
        <v>207</v>
      </c>
      <c r="D4" s="13" t="s">
        <v>40</v>
      </c>
    </row>
    <row r="5" spans="1:4" x14ac:dyDescent="0.3">
      <c r="A5" s="3" t="s">
        <v>208</v>
      </c>
      <c r="B5" s="4"/>
      <c r="C5" s="4"/>
      <c r="D5" s="4"/>
    </row>
    <row r="6" spans="1:4" x14ac:dyDescent="0.3">
      <c r="A6" s="9" t="s">
        <v>209</v>
      </c>
      <c r="B6" s="39">
        <f>credits_per_window</f>
        <v>100</v>
      </c>
      <c r="C6" s="39">
        <f>paid_credits_per_window</f>
        <v>100</v>
      </c>
      <c r="D6" s="9" t="s">
        <v>210</v>
      </c>
    </row>
    <row r="7" spans="1:4" x14ac:dyDescent="0.3">
      <c r="A7" s="9" t="s">
        <v>211</v>
      </c>
      <c r="B7" s="18">
        <f>B6*usd_per_credit</f>
        <v>0.1</v>
      </c>
      <c r="C7" s="18">
        <f>C6*usd_per_credit</f>
        <v>0.1</v>
      </c>
      <c r="D7" s="9" t="s">
        <v>212</v>
      </c>
    </row>
    <row r="8" spans="1:4" x14ac:dyDescent="0.3">
      <c r="A8" s="9" t="s">
        <v>213</v>
      </c>
      <c r="B8" s="37">
        <f>24/window_hours</f>
        <v>4.8</v>
      </c>
      <c r="C8" s="37">
        <f>24/window_hours</f>
        <v>4.8</v>
      </c>
      <c r="D8" s="9" t="s">
        <v>214</v>
      </c>
    </row>
    <row r="9" spans="1:4" x14ac:dyDescent="0.3">
      <c r="A9" s="9" t="s">
        <v>215</v>
      </c>
      <c r="B9" s="39">
        <f>days_per_month*24/window_hours</f>
        <v>144</v>
      </c>
      <c r="C9" s="39">
        <f>days_per_month*24/window_hours</f>
        <v>144</v>
      </c>
      <c r="D9" s="9" t="s">
        <v>216</v>
      </c>
    </row>
    <row r="10" spans="1:4" x14ac:dyDescent="0.3">
      <c r="A10" s="9" t="s">
        <v>217</v>
      </c>
      <c r="B10" s="39">
        <f>B6*B9</f>
        <v>14400</v>
      </c>
      <c r="C10" s="39">
        <f>C6*C9</f>
        <v>14400</v>
      </c>
      <c r="D10" s="9"/>
    </row>
    <row r="11" spans="1:4" x14ac:dyDescent="0.3">
      <c r="A11" s="9" t="s">
        <v>218</v>
      </c>
      <c r="B11" s="18">
        <f>B10*usd_per_credit</f>
        <v>14.4</v>
      </c>
      <c r="C11" s="18">
        <f>C10*usd_per_credit</f>
        <v>14.4</v>
      </c>
      <c r="D11" s="9" t="s">
        <v>219</v>
      </c>
    </row>
    <row r="12" spans="1:4" x14ac:dyDescent="0.3">
      <c r="A12" s="3" t="s">
        <v>220</v>
      </c>
      <c r="B12" s="4"/>
      <c r="C12" s="4"/>
      <c r="D12" s="4"/>
    </row>
    <row r="13" spans="1:4" x14ac:dyDescent="0.3">
      <c r="A13" s="9" t="s">
        <v>221</v>
      </c>
      <c r="B13" s="37">
        <f>B6/u_text_cr</f>
        <v>27.777777777777779</v>
      </c>
      <c r="C13" s="37">
        <f>C6/u_text_cr</f>
        <v>27.777777777777779</v>
      </c>
      <c r="D13" s="9" t="s">
        <v>222</v>
      </c>
    </row>
    <row r="14" spans="1:4" x14ac:dyDescent="0.3">
      <c r="A14" s="9" t="s">
        <v>223</v>
      </c>
      <c r="B14" s="37">
        <f>B6/u_voice_cr</f>
        <v>1.7628911414720141</v>
      </c>
      <c r="C14" s="37">
        <f>C6/u_voice_cr</f>
        <v>1.7628911414720141</v>
      </c>
      <c r="D14" s="9" t="s">
        <v>224</v>
      </c>
    </row>
    <row r="15" spans="1:4" x14ac:dyDescent="0.3">
      <c r="A15" s="9" t="s">
        <v>225</v>
      </c>
      <c r="B15" s="37">
        <f>B6/u_browser_cr</f>
        <v>9.0810025426807108</v>
      </c>
      <c r="C15" s="37">
        <f>C6/u_browser_cr</f>
        <v>9.0810025426807108</v>
      </c>
      <c r="D15" s="9" t="s">
        <v>226</v>
      </c>
    </row>
    <row r="16" spans="1:4" x14ac:dyDescent="0.3">
      <c r="A16" s="9" t="s">
        <v>227</v>
      </c>
      <c r="B16" s="37">
        <f>B6/u_search_cr</f>
        <v>11.428571428571429</v>
      </c>
      <c r="C16" s="37">
        <f>C6/u_search_cr</f>
        <v>11.428571428571429</v>
      </c>
      <c r="D16" s="9"/>
    </row>
    <row r="17" spans="1:4" x14ac:dyDescent="0.3">
      <c r="A17" s="3" t="s">
        <v>228</v>
      </c>
      <c r="B17" s="4"/>
      <c r="C17" s="4"/>
      <c r="D17" s="4"/>
    </row>
    <row r="18" spans="1:4" x14ac:dyDescent="0.3">
      <c r="A18" s="9" t="s">
        <v>229</v>
      </c>
      <c r="B18" s="18">
        <f>B10/u_text_cr*u_text_usd</f>
        <v>3.2</v>
      </c>
      <c r="C18" s="18">
        <f>C10/u_text_cr*u_text_usd</f>
        <v>3.2</v>
      </c>
      <c r="D18" s="9" t="s">
        <v>230</v>
      </c>
    </row>
    <row r="19" spans="1:4" x14ac:dyDescent="0.3">
      <c r="A19" s="9" t="s">
        <v>231</v>
      </c>
      <c r="B19" s="18">
        <f>B10/u_voice_cr*u_voice_usd</f>
        <v>10.357338034376378</v>
      </c>
      <c r="C19" s="18">
        <f>C10/u_voice_cr*u_voice_usd</f>
        <v>10.357338034376378</v>
      </c>
      <c r="D19" s="9" t="s">
        <v>232</v>
      </c>
    </row>
    <row r="20" spans="1:4" x14ac:dyDescent="0.3">
      <c r="A20" s="9" t="s">
        <v>233</v>
      </c>
      <c r="B20" s="18">
        <f>B10/u_browser_cr*u_browser_usd</f>
        <v>4.3623683254631311</v>
      </c>
      <c r="C20" s="18">
        <f>C10/u_browser_cr*u_browser_usd</f>
        <v>4.3623683254631311</v>
      </c>
      <c r="D20" s="9"/>
    </row>
    <row r="21" spans="1:4" x14ac:dyDescent="0.3">
      <c r="A21" s="9" t="s">
        <v>234</v>
      </c>
      <c r="B21" s="18">
        <f>B10/u_search_cr*u_search_usd</f>
        <v>11.520000000000001</v>
      </c>
      <c r="C21" s="18">
        <f>C10/u_search_cr*u_search_usd</f>
        <v>11.520000000000001</v>
      </c>
      <c r="D21" s="9"/>
    </row>
    <row r="22" spans="1:4" x14ac:dyDescent="0.3">
      <c r="A22" s="1" t="s">
        <v>235</v>
      </c>
      <c r="B22" s="40">
        <f>MAX(B18:B21)</f>
        <v>11.520000000000001</v>
      </c>
      <c r="C22" s="40">
        <f>MAX(C18:C21)</f>
        <v>11.520000000000001</v>
      </c>
      <c r="D22" s="9" t="s">
        <v>236</v>
      </c>
    </row>
    <row r="24" spans="1:4" x14ac:dyDescent="0.3">
      <c r="A24" s="3" t="s">
        <v>237</v>
      </c>
      <c r="B24" s="4"/>
      <c r="C24" s="4"/>
      <c r="D24" s="4"/>
    </row>
    <row r="25" spans="1:4" x14ac:dyDescent="0.3">
      <c r="A25" s="9" t="s">
        <v>238</v>
      </c>
      <c r="B25" s="14">
        <v>500</v>
      </c>
      <c r="D25" s="9" t="s">
        <v>239</v>
      </c>
    </row>
    <row r="26" spans="1:4" x14ac:dyDescent="0.3">
      <c r="A26" s="9" t="s">
        <v>240</v>
      </c>
      <c r="B26" s="41">
        <f>paying_subs</f>
        <v>200</v>
      </c>
      <c r="D26" s="9" t="s">
        <v>241</v>
      </c>
    </row>
    <row r="27" spans="1:4" x14ac:dyDescent="0.3">
      <c r="A27" s="9" t="s">
        <v>242</v>
      </c>
      <c r="B27" s="29">
        <v>100</v>
      </c>
      <c r="D27" s="9" t="s">
        <v>243</v>
      </c>
    </row>
    <row r="28" spans="1:4" x14ac:dyDescent="0.3">
      <c r="A28" s="9" t="s">
        <v>244</v>
      </c>
      <c r="B28" s="18">
        <f>B26*blended_var_cost</f>
        <v>325.94720000000007</v>
      </c>
      <c r="D28" s="9" t="s">
        <v>245</v>
      </c>
    </row>
    <row r="29" spans="1:4" x14ac:dyDescent="0.3">
      <c r="A29" s="9" t="s">
        <v>246</v>
      </c>
      <c r="B29" s="18">
        <f>B25*free_user_cost</f>
        <v>17.5</v>
      </c>
      <c r="D29" s="9" t="s">
        <v>247</v>
      </c>
    </row>
    <row r="30" spans="1:4" x14ac:dyDescent="0.3">
      <c r="A30" s="1" t="s">
        <v>248</v>
      </c>
      <c r="B30" s="20">
        <f>B28+B29</f>
        <v>343.44720000000007</v>
      </c>
      <c r="D30" s="9" t="s">
        <v>249</v>
      </c>
    </row>
    <row r="31" spans="1:4" x14ac:dyDescent="0.3">
      <c r="A31" s="9" t="s">
        <v>250</v>
      </c>
      <c r="B31" s="18">
        <f>B27-B30</f>
        <v>-243.44720000000007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workbookViewId="0"/>
  </sheetViews>
  <sheetFormatPr defaultRowHeight="14.4" x14ac:dyDescent="0.3"/>
  <cols>
    <col min="1" max="1" width="20" customWidth="1"/>
    <col min="2" max="2" width="16" customWidth="1"/>
    <col min="3" max="6" width="13" customWidth="1"/>
    <col min="7" max="7" width="14" customWidth="1"/>
    <col min="8" max="8" width="15" customWidth="1"/>
    <col min="9" max="9" width="13" customWidth="1"/>
    <col min="10" max="10" width="16" customWidth="1"/>
    <col min="11" max="11" width="15" customWidth="1"/>
    <col min="12" max="12" width="24" customWidth="1"/>
  </cols>
  <sheetData>
    <row r="1" spans="1:12" x14ac:dyDescent="0.3">
      <c r="A1" s="1" t="s">
        <v>251</v>
      </c>
    </row>
    <row r="2" spans="1:12" x14ac:dyDescent="0.3">
      <c r="A2" s="2" t="s">
        <v>252</v>
      </c>
    </row>
    <row r="4" spans="1:12" ht="42" customHeight="1" x14ac:dyDescent="0.3">
      <c r="A4" s="13" t="s">
        <v>253</v>
      </c>
      <c r="B4" s="13" t="s">
        <v>254</v>
      </c>
      <c r="C4" s="13" t="s">
        <v>255</v>
      </c>
      <c r="D4" s="13" t="s">
        <v>256</v>
      </c>
      <c r="E4" s="13" t="s">
        <v>257</v>
      </c>
      <c r="F4" s="13" t="s">
        <v>258</v>
      </c>
      <c r="G4" s="13" t="s">
        <v>259</v>
      </c>
      <c r="H4" s="13" t="s">
        <v>260</v>
      </c>
      <c r="I4" s="13" t="s">
        <v>261</v>
      </c>
      <c r="J4" s="13" t="s">
        <v>262</v>
      </c>
      <c r="K4" s="13" t="s">
        <v>263</v>
      </c>
    </row>
    <row r="5" spans="1:12" x14ac:dyDescent="0.3">
      <c r="A5" s="1" t="s">
        <v>264</v>
      </c>
      <c r="B5" s="16">
        <v>0.4</v>
      </c>
      <c r="C5" s="14">
        <v>60</v>
      </c>
      <c r="D5" s="14">
        <v>0</v>
      </c>
      <c r="E5" s="14">
        <v>0</v>
      </c>
      <c r="F5" s="14">
        <v>10</v>
      </c>
      <c r="G5" s="39">
        <f>C5*u_text_cr+D5*u_voice_cr+E5*u_browser_cr+F5*u_search_cr</f>
        <v>303.5</v>
      </c>
      <c r="H5" s="21">
        <f>IF(paid_max_credits=0,0,G5/paid_max_credits)</f>
        <v>2.1076388888888888E-2</v>
      </c>
      <c r="I5" s="30">
        <f>IF(G5=0,1,MIN(1,paid_max_credits/G5))</f>
        <v>1</v>
      </c>
      <c r="J5" s="18">
        <f>I5*(C5*u_text_usd+D5*u_voice_usd+E5*u_browser_usd+F5*u_search_usd)</f>
        <v>0.11800000000000001</v>
      </c>
      <c r="K5" s="18">
        <f>MIN(G5,paid_max_credits)*usd_per_credit</f>
        <v>0.30349999999999999</v>
      </c>
    </row>
    <row r="6" spans="1:12" x14ac:dyDescent="0.3">
      <c r="A6" s="1" t="s">
        <v>265</v>
      </c>
      <c r="B6" s="16">
        <v>0.45</v>
      </c>
      <c r="C6" s="14">
        <v>300</v>
      </c>
      <c r="D6" s="14">
        <v>20</v>
      </c>
      <c r="E6" s="14">
        <v>10</v>
      </c>
      <c r="F6" s="14">
        <v>50</v>
      </c>
      <c r="G6" s="39">
        <f>C6*u_text_cr+D6*u_voice_cr+E6*u_browser_cr+F6*u_search_cr</f>
        <v>2762.12</v>
      </c>
      <c r="H6" s="21">
        <f>IF(paid_max_credits=0,0,G6/paid_max_credits)</f>
        <v>0.19181388888888889</v>
      </c>
      <c r="I6" s="30">
        <f>IF(G6=0,1,MIN(1,paid_max_credits/G6))</f>
        <v>1</v>
      </c>
      <c r="J6" s="18">
        <f>I6*(C6*u_text_usd+D6*u_voice_usd+E6*u_browser_usd+F6*u_search_usd)</f>
        <v>1.4393600000000002</v>
      </c>
      <c r="K6" s="18">
        <f>MIN(G6,paid_max_credits)*usd_per_credit</f>
        <v>2.7621199999999999</v>
      </c>
    </row>
    <row r="7" spans="1:12" x14ac:dyDescent="0.3">
      <c r="A7" s="1" t="s">
        <v>266</v>
      </c>
      <c r="B7" s="16">
        <v>0.15</v>
      </c>
      <c r="C7" s="14">
        <v>1200</v>
      </c>
      <c r="D7" s="14">
        <v>90</v>
      </c>
      <c r="E7" s="14">
        <v>60</v>
      </c>
      <c r="F7" s="14">
        <v>200</v>
      </c>
      <c r="G7" s="39">
        <f>C7*u_text_cr+D7*u_voice_cr+E7*u_browser_cr+F7*u_search_cr</f>
        <v>11835.97</v>
      </c>
      <c r="H7" s="21">
        <f>IF(paid_max_credits=0,0,G7/paid_max_credits)</f>
        <v>0.82194236111111108</v>
      </c>
      <c r="I7" s="30">
        <f>IF(G7=0,1,MIN(1,paid_max_credits/G7))</f>
        <v>1</v>
      </c>
      <c r="J7" s="18">
        <f>I7*(C7*u_text_usd+D7*u_voice_usd+E7*u_browser_usd+F7*u_search_usd)</f>
        <v>6.2321600000000013</v>
      </c>
      <c r="K7" s="18">
        <f>MIN(G7,paid_max_credits)*usd_per_credit</f>
        <v>11.83597</v>
      </c>
    </row>
    <row r="8" spans="1:12" x14ac:dyDescent="0.3">
      <c r="A8" s="42" t="s">
        <v>267</v>
      </c>
      <c r="B8" s="43">
        <f>SUM(B5:B7)</f>
        <v>1</v>
      </c>
      <c r="C8" s="44">
        <f>SUMPRODUCT($B$5:$B$7,C5:C7)</f>
        <v>339</v>
      </c>
      <c r="D8" s="44">
        <f>SUMPRODUCT($B$5:$B$7,D5:D7)</f>
        <v>22.5</v>
      </c>
      <c r="E8" s="44">
        <f>SUMPRODUCT($B$5:$B$7,E5:E7)</f>
        <v>13.5</v>
      </c>
      <c r="F8" s="44">
        <f>SUMPRODUCT($B$5:$B$7,F5:F7)</f>
        <v>56.5</v>
      </c>
      <c r="G8" s="44">
        <f>SUMPRODUCT($B$5:$B$7,G5:G7)</f>
        <v>3139.7494999999999</v>
      </c>
      <c r="H8" s="45"/>
      <c r="I8" s="45"/>
      <c r="J8" s="46">
        <f>SUMPRODUCT($B$5:$B$7,J5:J7)</f>
        <v>1.6297360000000003</v>
      </c>
      <c r="K8" s="19">
        <f>SUMPRODUCT($B$5:$B$7,K5:K7)</f>
        <v>3.1397494999999997</v>
      </c>
      <c r="L8" s="47" t="str">
        <f>IF(ABS(B8-1)&gt;0.001,"Mix must add to 100%","")</f>
        <v/>
      </c>
    </row>
    <row r="10" spans="1:12" x14ac:dyDescent="0.3">
      <c r="A10" s="3" t="s">
        <v>268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2" ht="42" customHeight="1" x14ac:dyDescent="0.3">
      <c r="A11" s="13" t="s">
        <v>253</v>
      </c>
      <c r="B11" s="13" t="s">
        <v>269</v>
      </c>
      <c r="C11" s="13" t="s">
        <v>255</v>
      </c>
      <c r="D11" s="13" t="s">
        <v>256</v>
      </c>
      <c r="E11" s="13" t="s">
        <v>257</v>
      </c>
      <c r="F11" s="13" t="s">
        <v>258</v>
      </c>
      <c r="G11" s="13" t="s">
        <v>259</v>
      </c>
      <c r="H11" s="13" t="s">
        <v>270</v>
      </c>
      <c r="I11" s="13"/>
      <c r="J11" s="13" t="s">
        <v>262</v>
      </c>
      <c r="K11" s="13"/>
    </row>
    <row r="12" spans="1:12" x14ac:dyDescent="0.3">
      <c r="A12" s="1" t="s">
        <v>271</v>
      </c>
      <c r="B12" s="16">
        <v>0</v>
      </c>
      <c r="C12" s="14">
        <v>40</v>
      </c>
      <c r="D12" s="17">
        <v>0</v>
      </c>
      <c r="E12" s="17">
        <v>0</v>
      </c>
      <c r="F12" s="14">
        <v>5</v>
      </c>
      <c r="G12" s="39">
        <f>C12*u_text_cr+F12*u_search_cr</f>
        <v>187.75</v>
      </c>
      <c r="H12" s="21">
        <f>IF(free_max_credits=0,0,G12/free_max_credits)</f>
        <v>1.3038194444444444E-2</v>
      </c>
      <c r="J12" s="48">
        <f>C12*u_text_usd*B12+F12*u_search_usd</f>
        <v>3.5000000000000003E-2</v>
      </c>
    </row>
    <row r="13" spans="1:12" x14ac:dyDescent="0.3">
      <c r="A13" s="2" t="s">
        <v>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6" customWidth="1"/>
    <col min="2" max="2" width="14" customWidth="1"/>
    <col min="3" max="3" width="26" customWidth="1"/>
    <col min="4" max="4" width="14" customWidth="1"/>
    <col min="5" max="5" width="18" customWidth="1"/>
    <col min="6" max="6" width="95" customWidth="1"/>
  </cols>
  <sheetData>
    <row r="1" spans="1:6" x14ac:dyDescent="0.3">
      <c r="A1" s="1" t="s">
        <v>273</v>
      </c>
    </row>
    <row r="2" spans="1:6" x14ac:dyDescent="0.3">
      <c r="A2" s="2" t="s">
        <v>274</v>
      </c>
    </row>
    <row r="4" spans="1:6" ht="26.4" x14ac:dyDescent="0.3">
      <c r="A4" s="13" t="s">
        <v>38</v>
      </c>
      <c r="B4" s="13" t="s">
        <v>275</v>
      </c>
      <c r="C4" s="13" t="s">
        <v>276</v>
      </c>
      <c r="D4" s="13" t="s">
        <v>277</v>
      </c>
      <c r="E4" s="13" t="s">
        <v>278</v>
      </c>
      <c r="F4" s="13" t="s">
        <v>82</v>
      </c>
    </row>
    <row r="5" spans="1:6" x14ac:dyDescent="0.3">
      <c r="A5" s="9" t="s">
        <v>279</v>
      </c>
      <c r="B5" s="9" t="s">
        <v>280</v>
      </c>
      <c r="C5" s="9" t="s">
        <v>281</v>
      </c>
      <c r="D5" s="27">
        <v>0</v>
      </c>
      <c r="E5" s="27">
        <v>25</v>
      </c>
      <c r="F5" s="9" t="s">
        <v>282</v>
      </c>
    </row>
    <row r="6" spans="1:6" x14ac:dyDescent="0.3">
      <c r="A6" s="9" t="s">
        <v>283</v>
      </c>
      <c r="B6" s="9" t="s">
        <v>280</v>
      </c>
      <c r="C6" s="9" t="s">
        <v>281</v>
      </c>
      <c r="D6" s="27">
        <v>0</v>
      </c>
      <c r="E6" s="27">
        <v>25</v>
      </c>
      <c r="F6" s="9" t="s">
        <v>284</v>
      </c>
    </row>
    <row r="7" spans="1:6" x14ac:dyDescent="0.3">
      <c r="A7" s="9" t="s">
        <v>285</v>
      </c>
      <c r="B7" s="9" t="s">
        <v>280</v>
      </c>
      <c r="C7" s="9" t="s">
        <v>281</v>
      </c>
      <c r="D7" s="27">
        <v>0</v>
      </c>
      <c r="E7" s="27">
        <v>10</v>
      </c>
      <c r="F7" s="9" t="s">
        <v>286</v>
      </c>
    </row>
    <row r="8" spans="1:6" x14ac:dyDescent="0.3">
      <c r="A8" s="9" t="s">
        <v>287</v>
      </c>
      <c r="B8" s="9" t="s">
        <v>280</v>
      </c>
      <c r="C8" s="9" t="s">
        <v>281</v>
      </c>
      <c r="D8" s="27">
        <v>0</v>
      </c>
      <c r="E8" s="27">
        <v>0</v>
      </c>
      <c r="F8" s="9" t="s">
        <v>288</v>
      </c>
    </row>
    <row r="9" spans="1:6" x14ac:dyDescent="0.3">
      <c r="A9" s="9" t="s">
        <v>289</v>
      </c>
      <c r="B9" s="9" t="s">
        <v>290</v>
      </c>
      <c r="C9" s="9" t="s">
        <v>281</v>
      </c>
      <c r="D9" s="27">
        <v>0</v>
      </c>
      <c r="E9" s="27">
        <v>25</v>
      </c>
      <c r="F9" s="9" t="s">
        <v>291</v>
      </c>
    </row>
    <row r="10" spans="1:6" x14ac:dyDescent="0.3">
      <c r="A10" s="9" t="s">
        <v>292</v>
      </c>
      <c r="B10" s="9" t="s">
        <v>293</v>
      </c>
      <c r="C10" s="9" t="s">
        <v>281</v>
      </c>
      <c r="D10" s="27">
        <v>0</v>
      </c>
      <c r="E10" s="27">
        <v>20</v>
      </c>
      <c r="F10" s="9" t="s">
        <v>294</v>
      </c>
    </row>
    <row r="11" spans="1:6" x14ac:dyDescent="0.3">
      <c r="A11" s="9" t="s">
        <v>295</v>
      </c>
      <c r="B11" s="9" t="s">
        <v>296</v>
      </c>
      <c r="C11" s="9" t="s">
        <v>297</v>
      </c>
      <c r="D11" s="27">
        <v>0</v>
      </c>
      <c r="E11" s="27">
        <v>20</v>
      </c>
      <c r="F11" s="9" t="s">
        <v>298</v>
      </c>
    </row>
    <row r="12" spans="1:6" x14ac:dyDescent="0.3">
      <c r="A12" s="9" t="s">
        <v>299</v>
      </c>
      <c r="B12" s="9" t="s">
        <v>300</v>
      </c>
      <c r="C12" s="9" t="s">
        <v>301</v>
      </c>
      <c r="D12" s="27">
        <v>0</v>
      </c>
      <c r="E12" s="27">
        <v>0</v>
      </c>
      <c r="F12" s="9" t="s">
        <v>302</v>
      </c>
    </row>
    <row r="13" spans="1:6" x14ac:dyDescent="0.3">
      <c r="A13" s="9" t="s">
        <v>303</v>
      </c>
      <c r="B13" s="9" t="s">
        <v>304</v>
      </c>
      <c r="C13" s="9" t="s">
        <v>301</v>
      </c>
      <c r="D13" s="27">
        <v>0</v>
      </c>
      <c r="E13" s="27">
        <v>0</v>
      </c>
      <c r="F13" s="9" t="s">
        <v>305</v>
      </c>
    </row>
    <row r="14" spans="1:6" x14ac:dyDescent="0.3">
      <c r="A14" s="9" t="s">
        <v>306</v>
      </c>
      <c r="B14" s="9" t="s">
        <v>307</v>
      </c>
      <c r="C14" s="9" t="s">
        <v>308</v>
      </c>
      <c r="D14" s="27">
        <v>1.25</v>
      </c>
      <c r="E14" s="27">
        <v>1.25</v>
      </c>
      <c r="F14" s="9" t="s">
        <v>309</v>
      </c>
    </row>
    <row r="15" spans="1:6" x14ac:dyDescent="0.3">
      <c r="A15" s="9" t="s">
        <v>310</v>
      </c>
      <c r="B15" s="9" t="s">
        <v>311</v>
      </c>
      <c r="C15" s="9" t="s">
        <v>308</v>
      </c>
      <c r="D15" s="27">
        <v>0</v>
      </c>
      <c r="E15" s="27">
        <v>8.25</v>
      </c>
      <c r="F15" s="9" t="s">
        <v>312</v>
      </c>
    </row>
    <row r="16" spans="1:6" x14ac:dyDescent="0.3">
      <c r="A16" s="9" t="s">
        <v>313</v>
      </c>
      <c r="B16" s="9" t="s">
        <v>314</v>
      </c>
      <c r="C16" s="9" t="s">
        <v>315</v>
      </c>
      <c r="D16" s="27">
        <v>0</v>
      </c>
      <c r="E16" s="27">
        <v>0</v>
      </c>
      <c r="F16" s="9" t="s">
        <v>316</v>
      </c>
    </row>
    <row r="17" spans="1:6" x14ac:dyDescent="0.3">
      <c r="D17" s="29"/>
      <c r="E17" s="29"/>
    </row>
    <row r="18" spans="1:6" x14ac:dyDescent="0.3">
      <c r="D18" s="29"/>
      <c r="E18" s="29"/>
    </row>
    <row r="19" spans="1:6" x14ac:dyDescent="0.3">
      <c r="D19" s="29"/>
      <c r="E19" s="29"/>
    </row>
    <row r="20" spans="1:6" x14ac:dyDescent="0.3">
      <c r="D20" s="29"/>
      <c r="E20" s="29"/>
    </row>
    <row r="21" spans="1:6" x14ac:dyDescent="0.3">
      <c r="A21" s="42" t="s">
        <v>317</v>
      </c>
      <c r="B21" s="49"/>
      <c r="C21" s="49"/>
      <c r="D21" s="46">
        <f>SUM(D5:D20)</f>
        <v>1.25</v>
      </c>
      <c r="E21" s="46">
        <f>SUM(E5:E20)</f>
        <v>134.5</v>
      </c>
      <c r="F21" s="49"/>
    </row>
    <row r="22" spans="1:6" x14ac:dyDescent="0.3">
      <c r="A22" s="2" t="s">
        <v>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05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52" customWidth="1"/>
    <col min="4" max="4" width="24" customWidth="1"/>
    <col min="5" max="5" width="11" customWidth="1"/>
    <col min="6" max="8" width="14" customWidth="1"/>
    <col min="9" max="9" width="36" customWidth="1"/>
    <col min="10" max="10" width="30" customWidth="1"/>
  </cols>
  <sheetData>
    <row r="1" spans="1:10" x14ac:dyDescent="0.3">
      <c r="A1" s="1" t="s">
        <v>319</v>
      </c>
    </row>
    <row r="2" spans="1:10" x14ac:dyDescent="0.3">
      <c r="A2" s="2" t="s">
        <v>320</v>
      </c>
    </row>
    <row r="4" spans="1:10" x14ac:dyDescent="0.3">
      <c r="A4" s="13" t="s">
        <v>321</v>
      </c>
      <c r="B4" s="13" t="s">
        <v>275</v>
      </c>
      <c r="C4" s="13" t="s">
        <v>322</v>
      </c>
      <c r="D4" s="13" t="s">
        <v>276</v>
      </c>
      <c r="E4" s="13" t="s">
        <v>323</v>
      </c>
      <c r="F4" s="13" t="s">
        <v>324</v>
      </c>
      <c r="G4" s="13" t="s">
        <v>325</v>
      </c>
      <c r="H4" s="13" t="s">
        <v>326</v>
      </c>
      <c r="I4" s="13" t="s">
        <v>327</v>
      </c>
      <c r="J4" s="13" t="s">
        <v>328</v>
      </c>
    </row>
    <row r="5" spans="1:10" x14ac:dyDescent="0.3">
      <c r="A5" s="50">
        <v>46296</v>
      </c>
      <c r="B5" s="10" t="s">
        <v>280</v>
      </c>
      <c r="C5" s="10" t="s">
        <v>329</v>
      </c>
      <c r="D5" s="10" t="s">
        <v>281</v>
      </c>
      <c r="E5" s="10" t="s">
        <v>330</v>
      </c>
      <c r="F5" s="10" t="s">
        <v>331</v>
      </c>
      <c r="G5" s="29">
        <v>7</v>
      </c>
      <c r="H5" s="10" t="s">
        <v>332</v>
      </c>
      <c r="I5" s="10" t="s">
        <v>333</v>
      </c>
    </row>
    <row r="6" spans="1:10" x14ac:dyDescent="0.3">
      <c r="A6" s="50"/>
      <c r="B6" s="10"/>
      <c r="C6" s="10"/>
      <c r="D6" s="10"/>
      <c r="E6" s="10"/>
      <c r="F6" s="10"/>
      <c r="G6" s="29"/>
      <c r="H6" s="10"/>
      <c r="I6" s="10"/>
      <c r="J6" s="10"/>
    </row>
    <row r="7" spans="1:10" x14ac:dyDescent="0.3">
      <c r="A7" s="50"/>
      <c r="B7" s="10"/>
      <c r="C7" s="10"/>
      <c r="D7" s="10"/>
      <c r="E7" s="10"/>
      <c r="F7" s="10"/>
      <c r="G7" s="29"/>
      <c r="H7" s="10"/>
      <c r="I7" s="10"/>
      <c r="J7" s="10"/>
    </row>
    <row r="8" spans="1:10" x14ac:dyDescent="0.3">
      <c r="A8" s="50"/>
      <c r="B8" s="10"/>
      <c r="C8" s="10"/>
      <c r="D8" s="10"/>
      <c r="E8" s="10"/>
      <c r="F8" s="10"/>
      <c r="G8" s="29"/>
      <c r="H8" s="10"/>
      <c r="I8" s="10"/>
      <c r="J8" s="10"/>
    </row>
    <row r="9" spans="1:10" x14ac:dyDescent="0.3">
      <c r="A9" s="50"/>
      <c r="B9" s="10"/>
      <c r="C9" s="10"/>
      <c r="D9" s="10"/>
      <c r="E9" s="10"/>
      <c r="F9" s="10"/>
      <c r="G9" s="29"/>
      <c r="H9" s="10"/>
      <c r="I9" s="10"/>
      <c r="J9" s="10"/>
    </row>
    <row r="10" spans="1:10" x14ac:dyDescent="0.3">
      <c r="A10" s="50"/>
      <c r="B10" s="10"/>
      <c r="C10" s="10"/>
      <c r="D10" s="10"/>
      <c r="E10" s="10"/>
      <c r="F10" s="10"/>
      <c r="G10" s="29"/>
      <c r="H10" s="10"/>
      <c r="I10" s="10"/>
      <c r="J10" s="10"/>
    </row>
    <row r="11" spans="1:10" x14ac:dyDescent="0.3">
      <c r="A11" s="50"/>
      <c r="B11" s="10"/>
      <c r="C11" s="10"/>
      <c r="D11" s="10"/>
      <c r="E11" s="10"/>
      <c r="F11" s="10"/>
      <c r="G11" s="29"/>
      <c r="H11" s="10"/>
      <c r="I11" s="10"/>
      <c r="J11" s="10"/>
    </row>
    <row r="12" spans="1:10" x14ac:dyDescent="0.3">
      <c r="A12" s="50"/>
      <c r="B12" s="10"/>
      <c r="C12" s="10"/>
      <c r="D12" s="10"/>
      <c r="E12" s="10"/>
      <c r="F12" s="10"/>
      <c r="G12" s="29"/>
      <c r="H12" s="10"/>
      <c r="I12" s="10"/>
      <c r="J12" s="10"/>
    </row>
    <row r="13" spans="1:10" x14ac:dyDescent="0.3">
      <c r="A13" s="50"/>
      <c r="B13" s="10"/>
      <c r="C13" s="10"/>
      <c r="D13" s="10"/>
      <c r="E13" s="10"/>
      <c r="F13" s="10"/>
      <c r="G13" s="29"/>
      <c r="H13" s="10"/>
      <c r="I13" s="10"/>
      <c r="J13" s="10"/>
    </row>
    <row r="14" spans="1:10" x14ac:dyDescent="0.3">
      <c r="A14" s="50"/>
      <c r="B14" s="10"/>
      <c r="C14" s="10"/>
      <c r="D14" s="10"/>
      <c r="E14" s="10"/>
      <c r="F14" s="10"/>
      <c r="G14" s="29"/>
      <c r="H14" s="10"/>
      <c r="I14" s="10"/>
      <c r="J14" s="10"/>
    </row>
    <row r="15" spans="1:10" x14ac:dyDescent="0.3">
      <c r="A15" s="50"/>
      <c r="B15" s="10"/>
      <c r="C15" s="10"/>
      <c r="D15" s="10"/>
      <c r="E15" s="10"/>
      <c r="F15" s="10"/>
      <c r="G15" s="29"/>
      <c r="H15" s="10"/>
      <c r="I15" s="10"/>
      <c r="J15" s="10"/>
    </row>
    <row r="16" spans="1:10" x14ac:dyDescent="0.3">
      <c r="A16" s="50"/>
      <c r="B16" s="10"/>
      <c r="C16" s="10"/>
      <c r="D16" s="10"/>
      <c r="E16" s="10"/>
      <c r="F16" s="10"/>
      <c r="G16" s="29"/>
      <c r="H16" s="10"/>
      <c r="I16" s="10"/>
      <c r="J16" s="10"/>
    </row>
    <row r="17" spans="1:10" x14ac:dyDescent="0.3">
      <c r="A17" s="50"/>
      <c r="B17" s="10"/>
      <c r="C17" s="10"/>
      <c r="D17" s="10"/>
      <c r="E17" s="10"/>
      <c r="F17" s="10"/>
      <c r="G17" s="29"/>
      <c r="H17" s="10"/>
      <c r="I17" s="10"/>
      <c r="J17" s="10"/>
    </row>
    <row r="18" spans="1:10" x14ac:dyDescent="0.3">
      <c r="A18" s="50"/>
      <c r="B18" s="10"/>
      <c r="C18" s="10"/>
      <c r="D18" s="10"/>
      <c r="E18" s="10"/>
      <c r="F18" s="10"/>
      <c r="G18" s="29"/>
      <c r="H18" s="10"/>
      <c r="I18" s="10"/>
      <c r="J18" s="10"/>
    </row>
    <row r="19" spans="1:10" x14ac:dyDescent="0.3">
      <c r="A19" s="50"/>
      <c r="B19" s="10"/>
      <c r="C19" s="10"/>
      <c r="D19" s="10"/>
      <c r="E19" s="10"/>
      <c r="F19" s="10"/>
      <c r="G19" s="29"/>
      <c r="H19" s="10"/>
      <c r="I19" s="10"/>
      <c r="J19" s="10"/>
    </row>
    <row r="20" spans="1:10" x14ac:dyDescent="0.3">
      <c r="A20" s="50"/>
      <c r="B20" s="10"/>
      <c r="C20" s="10"/>
      <c r="D20" s="10"/>
      <c r="E20" s="10"/>
      <c r="F20" s="10"/>
      <c r="G20" s="29"/>
      <c r="H20" s="10"/>
      <c r="I20" s="10"/>
      <c r="J20" s="10"/>
    </row>
    <row r="21" spans="1:10" x14ac:dyDescent="0.3">
      <c r="A21" s="50"/>
      <c r="B21" s="10"/>
      <c r="C21" s="10"/>
      <c r="D21" s="10"/>
      <c r="E21" s="10"/>
      <c r="F21" s="10"/>
      <c r="G21" s="29"/>
      <c r="H21" s="10"/>
      <c r="I21" s="10"/>
      <c r="J21" s="10"/>
    </row>
    <row r="22" spans="1:10" x14ac:dyDescent="0.3">
      <c r="A22" s="50"/>
      <c r="B22" s="10"/>
      <c r="C22" s="10"/>
      <c r="D22" s="10"/>
      <c r="E22" s="10"/>
      <c r="F22" s="10"/>
      <c r="G22" s="29"/>
      <c r="H22" s="10"/>
      <c r="I22" s="10"/>
      <c r="J22" s="10"/>
    </row>
    <row r="23" spans="1:10" x14ac:dyDescent="0.3">
      <c r="A23" s="50"/>
      <c r="B23" s="10"/>
      <c r="C23" s="10"/>
      <c r="D23" s="10"/>
      <c r="E23" s="10"/>
      <c r="F23" s="10"/>
      <c r="G23" s="29"/>
      <c r="H23" s="10"/>
      <c r="I23" s="10"/>
      <c r="J23" s="10"/>
    </row>
    <row r="24" spans="1:10" x14ac:dyDescent="0.3">
      <c r="A24" s="50"/>
      <c r="B24" s="10"/>
      <c r="C24" s="10"/>
      <c r="D24" s="10"/>
      <c r="E24" s="10"/>
      <c r="F24" s="10"/>
      <c r="G24" s="29"/>
      <c r="H24" s="10"/>
      <c r="I24" s="10"/>
      <c r="J24" s="10"/>
    </row>
    <row r="25" spans="1:10" x14ac:dyDescent="0.3">
      <c r="A25" s="50"/>
      <c r="B25" s="10"/>
      <c r="C25" s="10"/>
      <c r="D25" s="10"/>
      <c r="E25" s="10"/>
      <c r="F25" s="10"/>
      <c r="G25" s="29"/>
      <c r="H25" s="10"/>
      <c r="I25" s="10"/>
      <c r="J25" s="10"/>
    </row>
    <row r="26" spans="1:10" x14ac:dyDescent="0.3">
      <c r="A26" s="50"/>
      <c r="B26" s="10"/>
      <c r="C26" s="10"/>
      <c r="D26" s="10"/>
      <c r="E26" s="10"/>
      <c r="F26" s="10"/>
      <c r="G26" s="29"/>
      <c r="H26" s="10"/>
      <c r="I26" s="10"/>
      <c r="J26" s="10"/>
    </row>
    <row r="27" spans="1:10" x14ac:dyDescent="0.3">
      <c r="A27" s="50"/>
      <c r="B27" s="10"/>
      <c r="C27" s="10"/>
      <c r="D27" s="10"/>
      <c r="E27" s="10"/>
      <c r="F27" s="10"/>
      <c r="G27" s="29"/>
      <c r="H27" s="10"/>
      <c r="I27" s="10"/>
      <c r="J27" s="10"/>
    </row>
    <row r="28" spans="1:10" x14ac:dyDescent="0.3">
      <c r="A28" s="50"/>
      <c r="B28" s="10"/>
      <c r="C28" s="10"/>
      <c r="D28" s="10"/>
      <c r="E28" s="10"/>
      <c r="F28" s="10"/>
      <c r="G28" s="29"/>
      <c r="H28" s="10"/>
      <c r="I28" s="10"/>
      <c r="J28" s="10"/>
    </row>
    <row r="29" spans="1:10" x14ac:dyDescent="0.3">
      <c r="A29" s="50"/>
      <c r="B29" s="10"/>
      <c r="C29" s="10"/>
      <c r="D29" s="10"/>
      <c r="E29" s="10"/>
      <c r="F29" s="10"/>
      <c r="G29" s="29"/>
      <c r="H29" s="10"/>
      <c r="I29" s="10"/>
      <c r="J29" s="10"/>
    </row>
    <row r="30" spans="1:10" x14ac:dyDescent="0.3">
      <c r="A30" s="50"/>
      <c r="B30" s="10"/>
      <c r="C30" s="10"/>
      <c r="D30" s="10"/>
      <c r="E30" s="10"/>
      <c r="F30" s="10"/>
      <c r="G30" s="29"/>
      <c r="H30" s="10"/>
      <c r="I30" s="10"/>
      <c r="J30" s="10"/>
    </row>
    <row r="31" spans="1:10" x14ac:dyDescent="0.3">
      <c r="A31" s="50"/>
      <c r="B31" s="10"/>
      <c r="C31" s="10"/>
      <c r="D31" s="10"/>
      <c r="E31" s="10"/>
      <c r="F31" s="10"/>
      <c r="G31" s="29"/>
      <c r="H31" s="10"/>
      <c r="I31" s="10"/>
      <c r="J31" s="10"/>
    </row>
    <row r="32" spans="1:10" x14ac:dyDescent="0.3">
      <c r="A32" s="50"/>
      <c r="B32" s="10"/>
      <c r="C32" s="10"/>
      <c r="D32" s="10"/>
      <c r="E32" s="10"/>
      <c r="F32" s="10"/>
      <c r="G32" s="29"/>
      <c r="H32" s="10"/>
      <c r="I32" s="10"/>
      <c r="J32" s="10"/>
    </row>
    <row r="33" spans="1:10" x14ac:dyDescent="0.3">
      <c r="A33" s="50"/>
      <c r="B33" s="10"/>
      <c r="C33" s="10"/>
      <c r="D33" s="10"/>
      <c r="E33" s="10"/>
      <c r="F33" s="10"/>
      <c r="G33" s="29"/>
      <c r="H33" s="10"/>
      <c r="I33" s="10"/>
      <c r="J33" s="10"/>
    </row>
    <row r="34" spans="1:10" x14ac:dyDescent="0.3">
      <c r="A34" s="50"/>
      <c r="B34" s="10"/>
      <c r="C34" s="10"/>
      <c r="D34" s="10"/>
      <c r="E34" s="10"/>
      <c r="F34" s="10"/>
      <c r="G34" s="29"/>
      <c r="H34" s="10"/>
      <c r="I34" s="10"/>
      <c r="J34" s="10"/>
    </row>
    <row r="35" spans="1:10" x14ac:dyDescent="0.3">
      <c r="A35" s="50"/>
      <c r="B35" s="10"/>
      <c r="C35" s="10"/>
      <c r="D35" s="10"/>
      <c r="E35" s="10"/>
      <c r="F35" s="10"/>
      <c r="G35" s="29"/>
      <c r="H35" s="10"/>
      <c r="I35" s="10"/>
      <c r="J35" s="10"/>
    </row>
    <row r="36" spans="1:10" x14ac:dyDescent="0.3">
      <c r="A36" s="50"/>
      <c r="B36" s="10"/>
      <c r="C36" s="10"/>
      <c r="D36" s="10"/>
      <c r="E36" s="10"/>
      <c r="F36" s="10"/>
      <c r="G36" s="29"/>
      <c r="H36" s="10"/>
      <c r="I36" s="10"/>
      <c r="J36" s="10"/>
    </row>
    <row r="37" spans="1:10" x14ac:dyDescent="0.3">
      <c r="A37" s="50"/>
      <c r="B37" s="10"/>
      <c r="C37" s="10"/>
      <c r="D37" s="10"/>
      <c r="E37" s="10"/>
      <c r="F37" s="10"/>
      <c r="G37" s="29"/>
      <c r="H37" s="10"/>
      <c r="I37" s="10"/>
      <c r="J37" s="10"/>
    </row>
    <row r="38" spans="1:10" x14ac:dyDescent="0.3">
      <c r="A38" s="50"/>
      <c r="B38" s="10"/>
      <c r="C38" s="10"/>
      <c r="D38" s="10"/>
      <c r="E38" s="10"/>
      <c r="F38" s="10"/>
      <c r="G38" s="29"/>
      <c r="H38" s="10"/>
      <c r="I38" s="10"/>
      <c r="J38" s="10"/>
    </row>
    <row r="39" spans="1:10" x14ac:dyDescent="0.3">
      <c r="A39" s="50"/>
      <c r="B39" s="10"/>
      <c r="C39" s="10"/>
      <c r="D39" s="10"/>
      <c r="E39" s="10"/>
      <c r="F39" s="10"/>
      <c r="G39" s="29"/>
      <c r="H39" s="10"/>
      <c r="I39" s="10"/>
      <c r="J39" s="10"/>
    </row>
    <row r="40" spans="1:10" x14ac:dyDescent="0.3">
      <c r="A40" s="50"/>
      <c r="B40" s="10"/>
      <c r="C40" s="10"/>
      <c r="D40" s="10"/>
      <c r="E40" s="10"/>
      <c r="F40" s="10"/>
      <c r="G40" s="29"/>
      <c r="H40" s="10"/>
      <c r="I40" s="10"/>
      <c r="J40" s="10"/>
    </row>
    <row r="41" spans="1:10" x14ac:dyDescent="0.3">
      <c r="A41" s="50"/>
      <c r="B41" s="10"/>
      <c r="C41" s="10"/>
      <c r="D41" s="10"/>
      <c r="E41" s="10"/>
      <c r="F41" s="10"/>
      <c r="G41" s="29"/>
      <c r="H41" s="10"/>
      <c r="I41" s="10"/>
      <c r="J41" s="10"/>
    </row>
    <row r="42" spans="1:10" x14ac:dyDescent="0.3">
      <c r="A42" s="50"/>
      <c r="B42" s="10"/>
      <c r="C42" s="10"/>
      <c r="D42" s="10"/>
      <c r="E42" s="10"/>
      <c r="F42" s="10"/>
      <c r="G42" s="29"/>
      <c r="H42" s="10"/>
      <c r="I42" s="10"/>
      <c r="J42" s="10"/>
    </row>
    <row r="43" spans="1:10" x14ac:dyDescent="0.3">
      <c r="A43" s="50"/>
      <c r="B43" s="10"/>
      <c r="C43" s="10"/>
      <c r="D43" s="10"/>
      <c r="E43" s="10"/>
      <c r="F43" s="10"/>
      <c r="G43" s="29"/>
      <c r="H43" s="10"/>
      <c r="I43" s="10"/>
      <c r="J43" s="10"/>
    </row>
    <row r="44" spans="1:10" x14ac:dyDescent="0.3">
      <c r="A44" s="50"/>
      <c r="B44" s="10"/>
      <c r="C44" s="10"/>
      <c r="D44" s="10"/>
      <c r="E44" s="10"/>
      <c r="F44" s="10"/>
      <c r="G44" s="29"/>
      <c r="H44" s="10"/>
      <c r="I44" s="10"/>
      <c r="J44" s="10"/>
    </row>
    <row r="45" spans="1:10" x14ac:dyDescent="0.3">
      <c r="A45" s="50"/>
      <c r="B45" s="10"/>
      <c r="C45" s="10"/>
      <c r="D45" s="10"/>
      <c r="E45" s="10"/>
      <c r="F45" s="10"/>
      <c r="G45" s="29"/>
      <c r="H45" s="10"/>
      <c r="I45" s="10"/>
      <c r="J45" s="10"/>
    </row>
    <row r="46" spans="1:10" x14ac:dyDescent="0.3">
      <c r="A46" s="50"/>
      <c r="B46" s="10"/>
      <c r="C46" s="10"/>
      <c r="D46" s="10"/>
      <c r="E46" s="10"/>
      <c r="F46" s="10"/>
      <c r="G46" s="29"/>
      <c r="H46" s="10"/>
      <c r="I46" s="10"/>
      <c r="J46" s="10"/>
    </row>
    <row r="47" spans="1:10" x14ac:dyDescent="0.3">
      <c r="A47" s="50"/>
      <c r="B47" s="10"/>
      <c r="C47" s="10"/>
      <c r="D47" s="10"/>
      <c r="E47" s="10"/>
      <c r="F47" s="10"/>
      <c r="G47" s="29"/>
      <c r="H47" s="10"/>
      <c r="I47" s="10"/>
      <c r="J47" s="10"/>
    </row>
    <row r="48" spans="1:10" x14ac:dyDescent="0.3">
      <c r="A48" s="50"/>
      <c r="B48" s="10"/>
      <c r="C48" s="10"/>
      <c r="D48" s="10"/>
      <c r="E48" s="10"/>
      <c r="F48" s="10"/>
      <c r="G48" s="29"/>
      <c r="H48" s="10"/>
      <c r="I48" s="10"/>
      <c r="J48" s="10"/>
    </row>
    <row r="49" spans="1:10" x14ac:dyDescent="0.3">
      <c r="A49" s="50"/>
      <c r="B49" s="10"/>
      <c r="C49" s="10"/>
      <c r="D49" s="10"/>
      <c r="E49" s="10"/>
      <c r="F49" s="10"/>
      <c r="G49" s="29"/>
      <c r="H49" s="10"/>
      <c r="I49" s="10"/>
      <c r="J49" s="10"/>
    </row>
    <row r="50" spans="1:10" x14ac:dyDescent="0.3">
      <c r="A50" s="50"/>
      <c r="B50" s="10"/>
      <c r="C50" s="10"/>
      <c r="D50" s="10"/>
      <c r="E50" s="10"/>
      <c r="F50" s="10"/>
      <c r="G50" s="29"/>
      <c r="H50" s="10"/>
      <c r="I50" s="10"/>
      <c r="J50" s="10"/>
    </row>
    <row r="51" spans="1:10" x14ac:dyDescent="0.3">
      <c r="A51" s="50"/>
      <c r="B51" s="10"/>
      <c r="C51" s="10"/>
      <c r="D51" s="10"/>
      <c r="E51" s="10"/>
      <c r="F51" s="10"/>
      <c r="G51" s="29"/>
      <c r="H51" s="10"/>
      <c r="I51" s="10"/>
      <c r="J51" s="10"/>
    </row>
    <row r="52" spans="1:10" x14ac:dyDescent="0.3">
      <c r="A52" s="50"/>
      <c r="B52" s="10"/>
      <c r="C52" s="10"/>
      <c r="D52" s="10"/>
      <c r="E52" s="10"/>
      <c r="F52" s="10"/>
      <c r="G52" s="29"/>
      <c r="H52" s="10"/>
      <c r="I52" s="10"/>
      <c r="J52" s="10"/>
    </row>
    <row r="53" spans="1:10" x14ac:dyDescent="0.3">
      <c r="A53" s="50"/>
      <c r="B53" s="10"/>
      <c r="C53" s="10"/>
      <c r="D53" s="10"/>
      <c r="E53" s="10"/>
      <c r="F53" s="10"/>
      <c r="G53" s="29"/>
      <c r="H53" s="10"/>
      <c r="I53" s="10"/>
      <c r="J53" s="10"/>
    </row>
    <row r="54" spans="1:10" x14ac:dyDescent="0.3">
      <c r="A54" s="50"/>
      <c r="B54" s="10"/>
      <c r="C54" s="10"/>
      <c r="D54" s="10"/>
      <c r="E54" s="10"/>
      <c r="F54" s="10"/>
      <c r="G54" s="29"/>
      <c r="H54" s="10"/>
      <c r="I54" s="10"/>
      <c r="J54" s="10"/>
    </row>
    <row r="55" spans="1:10" x14ac:dyDescent="0.3">
      <c r="A55" s="50"/>
      <c r="B55" s="10"/>
      <c r="C55" s="10"/>
      <c r="D55" s="10"/>
      <c r="E55" s="10"/>
      <c r="F55" s="10"/>
      <c r="G55" s="29"/>
      <c r="H55" s="10"/>
      <c r="I55" s="10"/>
      <c r="J55" s="10"/>
    </row>
    <row r="56" spans="1:10" x14ac:dyDescent="0.3">
      <c r="A56" s="50"/>
      <c r="B56" s="10"/>
      <c r="C56" s="10"/>
      <c r="D56" s="10"/>
      <c r="E56" s="10"/>
      <c r="F56" s="10"/>
      <c r="G56" s="29"/>
      <c r="H56" s="10"/>
      <c r="I56" s="10"/>
      <c r="J56" s="10"/>
    </row>
    <row r="57" spans="1:10" x14ac:dyDescent="0.3">
      <c r="A57" s="50"/>
      <c r="B57" s="10"/>
      <c r="C57" s="10"/>
      <c r="D57" s="10"/>
      <c r="E57" s="10"/>
      <c r="F57" s="10"/>
      <c r="G57" s="29"/>
      <c r="H57" s="10"/>
      <c r="I57" s="10"/>
      <c r="J57" s="10"/>
    </row>
    <row r="58" spans="1:10" x14ac:dyDescent="0.3">
      <c r="A58" s="50"/>
      <c r="B58" s="10"/>
      <c r="C58" s="10"/>
      <c r="D58" s="10"/>
      <c r="E58" s="10"/>
      <c r="F58" s="10"/>
      <c r="G58" s="29"/>
      <c r="H58" s="10"/>
      <c r="I58" s="10"/>
      <c r="J58" s="10"/>
    </row>
    <row r="59" spans="1:10" x14ac:dyDescent="0.3">
      <c r="A59" s="50"/>
      <c r="B59" s="10"/>
      <c r="C59" s="10"/>
      <c r="D59" s="10"/>
      <c r="E59" s="10"/>
      <c r="F59" s="10"/>
      <c r="G59" s="29"/>
      <c r="H59" s="10"/>
      <c r="I59" s="10"/>
      <c r="J59" s="10"/>
    </row>
    <row r="60" spans="1:10" x14ac:dyDescent="0.3">
      <c r="A60" s="50"/>
      <c r="B60" s="10"/>
      <c r="C60" s="10"/>
      <c r="D60" s="10"/>
      <c r="E60" s="10"/>
      <c r="F60" s="10"/>
      <c r="G60" s="29"/>
      <c r="H60" s="10"/>
      <c r="I60" s="10"/>
      <c r="J60" s="10"/>
    </row>
    <row r="61" spans="1:10" x14ac:dyDescent="0.3">
      <c r="A61" s="50"/>
      <c r="B61" s="10"/>
      <c r="C61" s="10"/>
      <c r="D61" s="10"/>
      <c r="E61" s="10"/>
      <c r="F61" s="10"/>
      <c r="G61" s="29"/>
      <c r="H61" s="10"/>
      <c r="I61" s="10"/>
      <c r="J61" s="10"/>
    </row>
    <row r="62" spans="1:10" x14ac:dyDescent="0.3">
      <c r="A62" s="50"/>
      <c r="B62" s="10"/>
      <c r="C62" s="10"/>
      <c r="D62" s="10"/>
      <c r="E62" s="10"/>
      <c r="F62" s="10"/>
      <c r="G62" s="29"/>
      <c r="H62" s="10"/>
      <c r="I62" s="10"/>
      <c r="J62" s="10"/>
    </row>
    <row r="63" spans="1:10" x14ac:dyDescent="0.3">
      <c r="A63" s="50"/>
      <c r="B63" s="10"/>
      <c r="C63" s="10"/>
      <c r="D63" s="10"/>
      <c r="E63" s="10"/>
      <c r="F63" s="10"/>
      <c r="G63" s="29"/>
      <c r="H63" s="10"/>
      <c r="I63" s="10"/>
      <c r="J63" s="10"/>
    </row>
    <row r="64" spans="1:10" x14ac:dyDescent="0.3">
      <c r="A64" s="50"/>
      <c r="B64" s="10"/>
      <c r="C64" s="10"/>
      <c r="D64" s="10"/>
      <c r="E64" s="10"/>
      <c r="F64" s="10"/>
      <c r="G64" s="29"/>
      <c r="H64" s="10"/>
      <c r="I64" s="10"/>
      <c r="J64" s="10"/>
    </row>
    <row r="65" spans="1:10" x14ac:dyDescent="0.3">
      <c r="A65" s="50"/>
      <c r="B65" s="10"/>
      <c r="C65" s="10"/>
      <c r="D65" s="10"/>
      <c r="E65" s="10"/>
      <c r="F65" s="10"/>
      <c r="G65" s="29"/>
      <c r="H65" s="10"/>
      <c r="I65" s="10"/>
      <c r="J65" s="10"/>
    </row>
    <row r="66" spans="1:10" x14ac:dyDescent="0.3">
      <c r="A66" s="50"/>
      <c r="B66" s="10"/>
      <c r="C66" s="10"/>
      <c r="D66" s="10"/>
      <c r="E66" s="10"/>
      <c r="F66" s="10"/>
      <c r="G66" s="29"/>
      <c r="H66" s="10"/>
      <c r="I66" s="10"/>
      <c r="J66" s="10"/>
    </row>
    <row r="67" spans="1:10" x14ac:dyDescent="0.3">
      <c r="A67" s="50"/>
      <c r="B67" s="10"/>
      <c r="C67" s="10"/>
      <c r="D67" s="10"/>
      <c r="E67" s="10"/>
      <c r="F67" s="10"/>
      <c r="G67" s="29"/>
      <c r="H67" s="10"/>
      <c r="I67" s="10"/>
      <c r="J67" s="10"/>
    </row>
    <row r="68" spans="1:10" x14ac:dyDescent="0.3">
      <c r="A68" s="50"/>
      <c r="B68" s="10"/>
      <c r="C68" s="10"/>
      <c r="D68" s="10"/>
      <c r="E68" s="10"/>
      <c r="F68" s="10"/>
      <c r="G68" s="29"/>
      <c r="H68" s="10"/>
      <c r="I68" s="10"/>
      <c r="J68" s="10"/>
    </row>
    <row r="69" spans="1:10" x14ac:dyDescent="0.3">
      <c r="A69" s="50"/>
      <c r="B69" s="10"/>
      <c r="C69" s="10"/>
      <c r="D69" s="10"/>
      <c r="E69" s="10"/>
      <c r="F69" s="10"/>
      <c r="G69" s="29"/>
      <c r="H69" s="10"/>
      <c r="I69" s="10"/>
      <c r="J69" s="10"/>
    </row>
    <row r="70" spans="1:10" x14ac:dyDescent="0.3">
      <c r="A70" s="50"/>
      <c r="B70" s="10"/>
      <c r="C70" s="10"/>
      <c r="D70" s="10"/>
      <c r="E70" s="10"/>
      <c r="F70" s="10"/>
      <c r="G70" s="29"/>
      <c r="H70" s="10"/>
      <c r="I70" s="10"/>
      <c r="J70" s="10"/>
    </row>
    <row r="71" spans="1:10" x14ac:dyDescent="0.3">
      <c r="A71" s="50"/>
      <c r="B71" s="10"/>
      <c r="C71" s="10"/>
      <c r="D71" s="10"/>
      <c r="E71" s="10"/>
      <c r="F71" s="10"/>
      <c r="G71" s="29"/>
      <c r="H71" s="10"/>
      <c r="I71" s="10"/>
      <c r="J71" s="10"/>
    </row>
    <row r="72" spans="1:10" x14ac:dyDescent="0.3">
      <c r="A72" s="50"/>
      <c r="B72" s="10"/>
      <c r="C72" s="10"/>
      <c r="D72" s="10"/>
      <c r="E72" s="10"/>
      <c r="F72" s="10"/>
      <c r="G72" s="29"/>
      <c r="H72" s="10"/>
      <c r="I72" s="10"/>
      <c r="J72" s="10"/>
    </row>
    <row r="73" spans="1:10" x14ac:dyDescent="0.3">
      <c r="A73" s="50"/>
      <c r="B73" s="10"/>
      <c r="C73" s="10"/>
      <c r="D73" s="10"/>
      <c r="E73" s="10"/>
      <c r="F73" s="10"/>
      <c r="G73" s="29"/>
      <c r="H73" s="10"/>
      <c r="I73" s="10"/>
      <c r="J73" s="10"/>
    </row>
    <row r="74" spans="1:10" x14ac:dyDescent="0.3">
      <c r="A74" s="50"/>
      <c r="B74" s="10"/>
      <c r="C74" s="10"/>
      <c r="D74" s="10"/>
      <c r="E74" s="10"/>
      <c r="F74" s="10"/>
      <c r="G74" s="29"/>
      <c r="H74" s="10"/>
      <c r="I74" s="10"/>
      <c r="J74" s="10"/>
    </row>
    <row r="75" spans="1:10" x14ac:dyDescent="0.3">
      <c r="A75" s="50"/>
      <c r="B75" s="10"/>
      <c r="C75" s="10"/>
      <c r="D75" s="10"/>
      <c r="E75" s="10"/>
      <c r="F75" s="10"/>
      <c r="G75" s="29"/>
      <c r="H75" s="10"/>
      <c r="I75" s="10"/>
      <c r="J75" s="10"/>
    </row>
    <row r="76" spans="1:10" x14ac:dyDescent="0.3">
      <c r="A76" s="50"/>
      <c r="B76" s="10"/>
      <c r="C76" s="10"/>
      <c r="D76" s="10"/>
      <c r="E76" s="10"/>
      <c r="F76" s="10"/>
      <c r="G76" s="29"/>
      <c r="H76" s="10"/>
      <c r="I76" s="10"/>
      <c r="J76" s="10"/>
    </row>
    <row r="77" spans="1:10" x14ac:dyDescent="0.3">
      <c r="A77" s="50"/>
      <c r="B77" s="10"/>
      <c r="C77" s="10"/>
      <c r="D77" s="10"/>
      <c r="E77" s="10"/>
      <c r="F77" s="10"/>
      <c r="G77" s="29"/>
      <c r="H77" s="10"/>
      <c r="I77" s="10"/>
      <c r="J77" s="10"/>
    </row>
    <row r="78" spans="1:10" x14ac:dyDescent="0.3">
      <c r="A78" s="50"/>
      <c r="B78" s="10"/>
      <c r="C78" s="10"/>
      <c r="D78" s="10"/>
      <c r="E78" s="10"/>
      <c r="F78" s="10"/>
      <c r="G78" s="29"/>
      <c r="H78" s="10"/>
      <c r="I78" s="10"/>
      <c r="J78" s="10"/>
    </row>
    <row r="79" spans="1:10" x14ac:dyDescent="0.3">
      <c r="A79" s="50"/>
      <c r="B79" s="10"/>
      <c r="C79" s="10"/>
      <c r="D79" s="10"/>
      <c r="E79" s="10"/>
      <c r="F79" s="10"/>
      <c r="G79" s="29"/>
      <c r="H79" s="10"/>
      <c r="I79" s="10"/>
      <c r="J79" s="10"/>
    </row>
    <row r="80" spans="1:10" x14ac:dyDescent="0.3">
      <c r="A80" s="50"/>
      <c r="B80" s="10"/>
      <c r="C80" s="10"/>
      <c r="D80" s="10"/>
      <c r="E80" s="10"/>
      <c r="F80" s="10"/>
      <c r="G80" s="29"/>
      <c r="H80" s="10"/>
      <c r="I80" s="10"/>
      <c r="J80" s="10"/>
    </row>
    <row r="81" spans="1:10" x14ac:dyDescent="0.3">
      <c r="A81" s="50"/>
      <c r="B81" s="10"/>
      <c r="C81" s="10"/>
      <c r="D81" s="10"/>
      <c r="E81" s="10"/>
      <c r="F81" s="10"/>
      <c r="G81" s="29"/>
      <c r="H81" s="10"/>
      <c r="I81" s="10"/>
      <c r="J81" s="10"/>
    </row>
    <row r="82" spans="1:10" x14ac:dyDescent="0.3">
      <c r="A82" s="50"/>
      <c r="B82" s="10"/>
      <c r="C82" s="10"/>
      <c r="D82" s="10"/>
      <c r="E82" s="10"/>
      <c r="F82" s="10"/>
      <c r="G82" s="29"/>
      <c r="H82" s="10"/>
      <c r="I82" s="10"/>
      <c r="J82" s="10"/>
    </row>
    <row r="83" spans="1:10" x14ac:dyDescent="0.3">
      <c r="A83" s="50"/>
      <c r="B83" s="10"/>
      <c r="C83" s="10"/>
      <c r="D83" s="10"/>
      <c r="E83" s="10"/>
      <c r="F83" s="10"/>
      <c r="G83" s="29"/>
      <c r="H83" s="10"/>
      <c r="I83" s="10"/>
      <c r="J83" s="10"/>
    </row>
    <row r="84" spans="1:10" x14ac:dyDescent="0.3">
      <c r="A84" s="50"/>
      <c r="B84" s="10"/>
      <c r="C84" s="10"/>
      <c r="D84" s="10"/>
      <c r="E84" s="10"/>
      <c r="F84" s="10"/>
      <c r="G84" s="29"/>
      <c r="H84" s="10"/>
      <c r="I84" s="10"/>
      <c r="J84" s="10"/>
    </row>
    <row r="85" spans="1:10" x14ac:dyDescent="0.3">
      <c r="A85" s="50"/>
      <c r="B85" s="10"/>
      <c r="C85" s="10"/>
      <c r="D85" s="10"/>
      <c r="E85" s="10"/>
      <c r="F85" s="10"/>
      <c r="G85" s="29"/>
      <c r="H85" s="10"/>
      <c r="I85" s="10"/>
      <c r="J85" s="10"/>
    </row>
    <row r="86" spans="1:10" x14ac:dyDescent="0.3">
      <c r="A86" s="50"/>
      <c r="B86" s="10"/>
      <c r="C86" s="10"/>
      <c r="D86" s="10"/>
      <c r="E86" s="10"/>
      <c r="F86" s="10"/>
      <c r="G86" s="29"/>
      <c r="H86" s="10"/>
      <c r="I86" s="10"/>
      <c r="J86" s="10"/>
    </row>
    <row r="87" spans="1:10" x14ac:dyDescent="0.3">
      <c r="A87" s="50"/>
      <c r="B87" s="10"/>
      <c r="C87" s="10"/>
      <c r="D87" s="10"/>
      <c r="E87" s="10"/>
      <c r="F87" s="10"/>
      <c r="G87" s="29"/>
      <c r="H87" s="10"/>
      <c r="I87" s="10"/>
      <c r="J87" s="10"/>
    </row>
    <row r="88" spans="1:10" x14ac:dyDescent="0.3">
      <c r="A88" s="50"/>
      <c r="B88" s="10"/>
      <c r="C88" s="10"/>
      <c r="D88" s="10"/>
      <c r="E88" s="10"/>
      <c r="F88" s="10"/>
      <c r="G88" s="29"/>
      <c r="H88" s="10"/>
      <c r="I88" s="10"/>
      <c r="J88" s="10"/>
    </row>
    <row r="89" spans="1:10" x14ac:dyDescent="0.3">
      <c r="A89" s="50"/>
      <c r="B89" s="10"/>
      <c r="C89" s="10"/>
      <c r="D89" s="10"/>
      <c r="E89" s="10"/>
      <c r="F89" s="10"/>
      <c r="G89" s="29"/>
      <c r="H89" s="10"/>
      <c r="I89" s="10"/>
      <c r="J89" s="10"/>
    </row>
    <row r="90" spans="1:10" x14ac:dyDescent="0.3">
      <c r="A90" s="50"/>
      <c r="B90" s="10"/>
      <c r="C90" s="10"/>
      <c r="D90" s="10"/>
      <c r="E90" s="10"/>
      <c r="F90" s="10"/>
      <c r="G90" s="29"/>
      <c r="H90" s="10"/>
      <c r="I90" s="10"/>
      <c r="J90" s="10"/>
    </row>
    <row r="91" spans="1:10" x14ac:dyDescent="0.3">
      <c r="A91" s="50"/>
      <c r="B91" s="10"/>
      <c r="C91" s="10"/>
      <c r="D91" s="10"/>
      <c r="E91" s="10"/>
      <c r="F91" s="10"/>
      <c r="G91" s="29"/>
      <c r="H91" s="10"/>
      <c r="I91" s="10"/>
      <c r="J91" s="10"/>
    </row>
    <row r="92" spans="1:10" x14ac:dyDescent="0.3">
      <c r="A92" s="50"/>
      <c r="B92" s="10"/>
      <c r="C92" s="10"/>
      <c r="D92" s="10"/>
      <c r="E92" s="10"/>
      <c r="F92" s="10"/>
      <c r="G92" s="29"/>
      <c r="H92" s="10"/>
      <c r="I92" s="10"/>
      <c r="J92" s="10"/>
    </row>
    <row r="93" spans="1:10" x14ac:dyDescent="0.3">
      <c r="A93" s="50"/>
      <c r="B93" s="10"/>
      <c r="C93" s="10"/>
      <c r="D93" s="10"/>
      <c r="E93" s="10"/>
      <c r="F93" s="10"/>
      <c r="G93" s="29"/>
      <c r="H93" s="10"/>
      <c r="I93" s="10"/>
      <c r="J93" s="10"/>
    </row>
    <row r="94" spans="1:10" x14ac:dyDescent="0.3">
      <c r="A94" s="50"/>
      <c r="B94" s="10"/>
      <c r="C94" s="10"/>
      <c r="D94" s="10"/>
      <c r="E94" s="10"/>
      <c r="F94" s="10"/>
      <c r="G94" s="29"/>
      <c r="H94" s="10"/>
      <c r="I94" s="10"/>
      <c r="J94" s="10"/>
    </row>
    <row r="95" spans="1:10" x14ac:dyDescent="0.3">
      <c r="A95" s="50"/>
      <c r="B95" s="10"/>
      <c r="C95" s="10"/>
      <c r="D95" s="10"/>
      <c r="E95" s="10"/>
      <c r="F95" s="10"/>
      <c r="G95" s="29"/>
      <c r="H95" s="10"/>
      <c r="I95" s="10"/>
      <c r="J95" s="10"/>
    </row>
    <row r="96" spans="1:10" x14ac:dyDescent="0.3">
      <c r="A96" s="50"/>
      <c r="B96" s="10"/>
      <c r="C96" s="10"/>
      <c r="D96" s="10"/>
      <c r="E96" s="10"/>
      <c r="F96" s="10"/>
      <c r="G96" s="29"/>
      <c r="H96" s="10"/>
      <c r="I96" s="10"/>
      <c r="J96" s="10"/>
    </row>
    <row r="97" spans="1:10" x14ac:dyDescent="0.3">
      <c r="A97" s="50"/>
      <c r="B97" s="10"/>
      <c r="C97" s="10"/>
      <c r="D97" s="10"/>
      <c r="E97" s="10"/>
      <c r="F97" s="10"/>
      <c r="G97" s="29"/>
      <c r="H97" s="10"/>
      <c r="I97" s="10"/>
      <c r="J97" s="10"/>
    </row>
    <row r="98" spans="1:10" x14ac:dyDescent="0.3">
      <c r="A98" s="50"/>
      <c r="B98" s="10"/>
      <c r="C98" s="10"/>
      <c r="D98" s="10"/>
      <c r="E98" s="10"/>
      <c r="F98" s="10"/>
      <c r="G98" s="29"/>
      <c r="H98" s="10"/>
      <c r="I98" s="10"/>
      <c r="J98" s="10"/>
    </row>
    <row r="99" spans="1:10" x14ac:dyDescent="0.3">
      <c r="A99" s="50"/>
      <c r="B99" s="10"/>
      <c r="C99" s="10"/>
      <c r="D99" s="10"/>
      <c r="E99" s="10"/>
      <c r="F99" s="10"/>
      <c r="G99" s="29"/>
      <c r="H99" s="10"/>
      <c r="I99" s="10"/>
      <c r="J99" s="10"/>
    </row>
    <row r="100" spans="1:10" x14ac:dyDescent="0.3">
      <c r="A100" s="50"/>
      <c r="B100" s="10"/>
      <c r="C100" s="10"/>
      <c r="D100" s="10"/>
      <c r="E100" s="10"/>
      <c r="F100" s="10"/>
      <c r="G100" s="29"/>
      <c r="H100" s="10"/>
      <c r="I100" s="10"/>
      <c r="J100" s="10"/>
    </row>
    <row r="101" spans="1:10" x14ac:dyDescent="0.3">
      <c r="A101" s="50"/>
      <c r="B101" s="10"/>
      <c r="C101" s="10"/>
      <c r="D101" s="10"/>
      <c r="E101" s="10"/>
      <c r="F101" s="10"/>
      <c r="G101" s="29"/>
      <c r="H101" s="10"/>
      <c r="I101" s="10"/>
      <c r="J101" s="10"/>
    </row>
    <row r="102" spans="1:10" x14ac:dyDescent="0.3">
      <c r="A102" s="50"/>
      <c r="B102" s="10"/>
      <c r="C102" s="10"/>
      <c r="D102" s="10"/>
      <c r="E102" s="10"/>
      <c r="F102" s="10"/>
      <c r="G102" s="29"/>
      <c r="H102" s="10"/>
      <c r="I102" s="10"/>
      <c r="J102" s="10"/>
    </row>
    <row r="103" spans="1:10" x14ac:dyDescent="0.3">
      <c r="A103" s="50"/>
      <c r="B103" s="10"/>
      <c r="C103" s="10"/>
      <c r="D103" s="10"/>
      <c r="E103" s="10"/>
      <c r="F103" s="10"/>
      <c r="G103" s="29"/>
      <c r="H103" s="10"/>
      <c r="I103" s="10"/>
      <c r="J103" s="10"/>
    </row>
    <row r="104" spans="1:10" x14ac:dyDescent="0.3">
      <c r="A104" s="50"/>
      <c r="B104" s="10"/>
      <c r="C104" s="10"/>
      <c r="D104" s="10"/>
      <c r="E104" s="10"/>
      <c r="F104" s="10"/>
      <c r="G104" s="29"/>
      <c r="H104" s="10"/>
      <c r="I104" s="10"/>
      <c r="J104" s="10"/>
    </row>
    <row r="105" spans="1:10" x14ac:dyDescent="0.3">
      <c r="A105" s="50"/>
      <c r="B105" s="10"/>
      <c r="C105" s="10"/>
      <c r="D105" s="10"/>
      <c r="E105" s="10"/>
      <c r="F105" s="10"/>
      <c r="G105" s="29"/>
      <c r="H105" s="10"/>
      <c r="I105" s="10"/>
      <c r="J105" s="10"/>
    </row>
    <row r="106" spans="1:10" x14ac:dyDescent="0.3">
      <c r="A106" s="50"/>
      <c r="B106" s="10"/>
      <c r="C106" s="10"/>
      <c r="D106" s="10"/>
      <c r="E106" s="10"/>
      <c r="F106" s="10"/>
      <c r="G106" s="29"/>
      <c r="H106" s="10"/>
      <c r="I106" s="10"/>
      <c r="J106" s="10"/>
    </row>
    <row r="107" spans="1:10" x14ac:dyDescent="0.3">
      <c r="A107" s="50"/>
      <c r="B107" s="10"/>
      <c r="C107" s="10"/>
      <c r="D107" s="10"/>
      <c r="E107" s="10"/>
      <c r="F107" s="10"/>
      <c r="G107" s="29"/>
      <c r="H107" s="10"/>
      <c r="I107" s="10"/>
      <c r="J107" s="10"/>
    </row>
    <row r="108" spans="1:10" x14ac:dyDescent="0.3">
      <c r="A108" s="50"/>
      <c r="B108" s="10"/>
      <c r="C108" s="10"/>
      <c r="D108" s="10"/>
      <c r="E108" s="10"/>
      <c r="F108" s="10"/>
      <c r="G108" s="29"/>
      <c r="H108" s="10"/>
      <c r="I108" s="10"/>
      <c r="J108" s="10"/>
    </row>
    <row r="109" spans="1:10" x14ac:dyDescent="0.3">
      <c r="A109" s="50"/>
      <c r="B109" s="10"/>
      <c r="C109" s="10"/>
      <c r="D109" s="10"/>
      <c r="E109" s="10"/>
      <c r="F109" s="10"/>
      <c r="G109" s="29"/>
      <c r="H109" s="10"/>
      <c r="I109" s="10"/>
      <c r="J109" s="10"/>
    </row>
    <row r="110" spans="1:10" x14ac:dyDescent="0.3">
      <c r="A110" s="50"/>
      <c r="B110" s="10"/>
      <c r="C110" s="10"/>
      <c r="D110" s="10"/>
      <c r="E110" s="10"/>
      <c r="F110" s="10"/>
      <c r="G110" s="29"/>
      <c r="H110" s="10"/>
      <c r="I110" s="10"/>
      <c r="J110" s="10"/>
    </row>
    <row r="111" spans="1:10" x14ac:dyDescent="0.3">
      <c r="A111" s="50"/>
      <c r="B111" s="10"/>
      <c r="C111" s="10"/>
      <c r="D111" s="10"/>
      <c r="E111" s="10"/>
      <c r="F111" s="10"/>
      <c r="G111" s="29"/>
      <c r="H111" s="10"/>
      <c r="I111" s="10"/>
      <c r="J111" s="10"/>
    </row>
    <row r="112" spans="1:10" x14ac:dyDescent="0.3">
      <c r="A112" s="50"/>
      <c r="B112" s="10"/>
      <c r="C112" s="10"/>
      <c r="D112" s="10"/>
      <c r="E112" s="10"/>
      <c r="F112" s="10"/>
      <c r="G112" s="29"/>
      <c r="H112" s="10"/>
      <c r="I112" s="10"/>
      <c r="J112" s="10"/>
    </row>
    <row r="113" spans="1:10" x14ac:dyDescent="0.3">
      <c r="A113" s="50"/>
      <c r="B113" s="10"/>
      <c r="C113" s="10"/>
      <c r="D113" s="10"/>
      <c r="E113" s="10"/>
      <c r="F113" s="10"/>
      <c r="G113" s="29"/>
      <c r="H113" s="10"/>
      <c r="I113" s="10"/>
      <c r="J113" s="10"/>
    </row>
    <row r="114" spans="1:10" x14ac:dyDescent="0.3">
      <c r="A114" s="50"/>
      <c r="B114" s="10"/>
      <c r="C114" s="10"/>
      <c r="D114" s="10"/>
      <c r="E114" s="10"/>
      <c r="F114" s="10"/>
      <c r="G114" s="29"/>
      <c r="H114" s="10"/>
      <c r="I114" s="10"/>
      <c r="J114" s="10"/>
    </row>
    <row r="115" spans="1:10" x14ac:dyDescent="0.3">
      <c r="A115" s="50"/>
      <c r="B115" s="10"/>
      <c r="C115" s="10"/>
      <c r="D115" s="10"/>
      <c r="E115" s="10"/>
      <c r="F115" s="10"/>
      <c r="G115" s="29"/>
      <c r="H115" s="10"/>
      <c r="I115" s="10"/>
      <c r="J115" s="10"/>
    </row>
    <row r="116" spans="1:10" x14ac:dyDescent="0.3">
      <c r="A116" s="50"/>
      <c r="B116" s="10"/>
      <c r="C116" s="10"/>
      <c r="D116" s="10"/>
      <c r="E116" s="10"/>
      <c r="F116" s="10"/>
      <c r="G116" s="29"/>
      <c r="H116" s="10"/>
      <c r="I116" s="10"/>
      <c r="J116" s="10"/>
    </row>
    <row r="117" spans="1:10" x14ac:dyDescent="0.3">
      <c r="A117" s="50"/>
      <c r="B117" s="10"/>
      <c r="C117" s="10"/>
      <c r="D117" s="10"/>
      <c r="E117" s="10"/>
      <c r="F117" s="10"/>
      <c r="G117" s="29"/>
      <c r="H117" s="10"/>
      <c r="I117" s="10"/>
      <c r="J117" s="10"/>
    </row>
    <row r="118" spans="1:10" x14ac:dyDescent="0.3">
      <c r="A118" s="50"/>
      <c r="B118" s="10"/>
      <c r="C118" s="10"/>
      <c r="D118" s="10"/>
      <c r="E118" s="10"/>
      <c r="F118" s="10"/>
      <c r="G118" s="29"/>
      <c r="H118" s="10"/>
      <c r="I118" s="10"/>
      <c r="J118" s="10"/>
    </row>
    <row r="119" spans="1:10" x14ac:dyDescent="0.3">
      <c r="A119" s="50"/>
      <c r="B119" s="10"/>
      <c r="C119" s="10"/>
      <c r="D119" s="10"/>
      <c r="E119" s="10"/>
      <c r="F119" s="10"/>
      <c r="G119" s="29"/>
      <c r="H119" s="10"/>
      <c r="I119" s="10"/>
      <c r="J119" s="10"/>
    </row>
    <row r="120" spans="1:10" x14ac:dyDescent="0.3">
      <c r="A120" s="50"/>
      <c r="B120" s="10"/>
      <c r="C120" s="10"/>
      <c r="D120" s="10"/>
      <c r="E120" s="10"/>
      <c r="F120" s="10"/>
      <c r="G120" s="29"/>
      <c r="H120" s="10"/>
      <c r="I120" s="10"/>
      <c r="J120" s="10"/>
    </row>
    <row r="121" spans="1:10" x14ac:dyDescent="0.3">
      <c r="A121" s="50"/>
      <c r="B121" s="10"/>
      <c r="C121" s="10"/>
      <c r="D121" s="10"/>
      <c r="E121" s="10"/>
      <c r="F121" s="10"/>
      <c r="G121" s="29"/>
      <c r="H121" s="10"/>
      <c r="I121" s="10"/>
      <c r="J121" s="10"/>
    </row>
    <row r="122" spans="1:10" x14ac:dyDescent="0.3">
      <c r="A122" s="50"/>
      <c r="B122" s="10"/>
      <c r="C122" s="10"/>
      <c r="D122" s="10"/>
      <c r="E122" s="10"/>
      <c r="F122" s="10"/>
      <c r="G122" s="29"/>
      <c r="H122" s="10"/>
      <c r="I122" s="10"/>
      <c r="J122" s="10"/>
    </row>
    <row r="123" spans="1:10" x14ac:dyDescent="0.3">
      <c r="A123" s="50"/>
      <c r="B123" s="10"/>
      <c r="C123" s="10"/>
      <c r="D123" s="10"/>
      <c r="E123" s="10"/>
      <c r="F123" s="10"/>
      <c r="G123" s="29"/>
      <c r="H123" s="10"/>
      <c r="I123" s="10"/>
      <c r="J123" s="10"/>
    </row>
    <row r="124" spans="1:10" x14ac:dyDescent="0.3">
      <c r="A124" s="50"/>
      <c r="B124" s="10"/>
      <c r="C124" s="10"/>
      <c r="D124" s="10"/>
      <c r="E124" s="10"/>
      <c r="F124" s="10"/>
      <c r="G124" s="29"/>
      <c r="H124" s="10"/>
      <c r="I124" s="10"/>
      <c r="J124" s="10"/>
    </row>
    <row r="125" spans="1:10" x14ac:dyDescent="0.3">
      <c r="A125" s="50"/>
      <c r="B125" s="10"/>
      <c r="C125" s="10"/>
      <c r="D125" s="10"/>
      <c r="E125" s="10"/>
      <c r="F125" s="10"/>
      <c r="G125" s="29"/>
      <c r="H125" s="10"/>
      <c r="I125" s="10"/>
      <c r="J125" s="10"/>
    </row>
    <row r="126" spans="1:10" x14ac:dyDescent="0.3">
      <c r="A126" s="50"/>
      <c r="B126" s="10"/>
      <c r="C126" s="10"/>
      <c r="D126" s="10"/>
      <c r="E126" s="10"/>
      <c r="F126" s="10"/>
      <c r="G126" s="29"/>
      <c r="H126" s="10"/>
      <c r="I126" s="10"/>
      <c r="J126" s="10"/>
    </row>
    <row r="127" spans="1:10" x14ac:dyDescent="0.3">
      <c r="A127" s="50"/>
      <c r="B127" s="10"/>
      <c r="C127" s="10"/>
      <c r="D127" s="10"/>
      <c r="E127" s="10"/>
      <c r="F127" s="10"/>
      <c r="G127" s="29"/>
      <c r="H127" s="10"/>
      <c r="I127" s="10"/>
      <c r="J127" s="10"/>
    </row>
    <row r="128" spans="1:10" x14ac:dyDescent="0.3">
      <c r="A128" s="50"/>
      <c r="B128" s="10"/>
      <c r="C128" s="10"/>
      <c r="D128" s="10"/>
      <c r="E128" s="10"/>
      <c r="F128" s="10"/>
      <c r="G128" s="29"/>
      <c r="H128" s="10"/>
      <c r="I128" s="10"/>
      <c r="J128" s="10"/>
    </row>
    <row r="129" spans="1:10" x14ac:dyDescent="0.3">
      <c r="A129" s="50"/>
      <c r="B129" s="10"/>
      <c r="C129" s="10"/>
      <c r="D129" s="10"/>
      <c r="E129" s="10"/>
      <c r="F129" s="10"/>
      <c r="G129" s="29"/>
      <c r="H129" s="10"/>
      <c r="I129" s="10"/>
      <c r="J129" s="10"/>
    </row>
    <row r="130" spans="1:10" x14ac:dyDescent="0.3">
      <c r="A130" s="50"/>
      <c r="B130" s="10"/>
      <c r="C130" s="10"/>
      <c r="D130" s="10"/>
      <c r="E130" s="10"/>
      <c r="F130" s="10"/>
      <c r="G130" s="29"/>
      <c r="H130" s="10"/>
      <c r="I130" s="10"/>
      <c r="J130" s="10"/>
    </row>
    <row r="131" spans="1:10" x14ac:dyDescent="0.3">
      <c r="A131" s="50"/>
      <c r="B131" s="10"/>
      <c r="C131" s="10"/>
      <c r="D131" s="10"/>
      <c r="E131" s="10"/>
      <c r="F131" s="10"/>
      <c r="G131" s="29"/>
      <c r="H131" s="10"/>
      <c r="I131" s="10"/>
      <c r="J131" s="10"/>
    </row>
    <row r="132" spans="1:10" x14ac:dyDescent="0.3">
      <c r="A132" s="50"/>
      <c r="B132" s="10"/>
      <c r="C132" s="10"/>
      <c r="D132" s="10"/>
      <c r="E132" s="10"/>
      <c r="F132" s="10"/>
      <c r="G132" s="29"/>
      <c r="H132" s="10"/>
      <c r="I132" s="10"/>
      <c r="J132" s="10"/>
    </row>
    <row r="133" spans="1:10" x14ac:dyDescent="0.3">
      <c r="A133" s="50"/>
      <c r="B133" s="10"/>
      <c r="C133" s="10"/>
      <c r="D133" s="10"/>
      <c r="E133" s="10"/>
      <c r="F133" s="10"/>
      <c r="G133" s="29"/>
      <c r="H133" s="10"/>
      <c r="I133" s="10"/>
      <c r="J133" s="10"/>
    </row>
    <row r="134" spans="1:10" x14ac:dyDescent="0.3">
      <c r="A134" s="50"/>
      <c r="B134" s="10"/>
      <c r="C134" s="10"/>
      <c r="D134" s="10"/>
      <c r="E134" s="10"/>
      <c r="F134" s="10"/>
      <c r="G134" s="29"/>
      <c r="H134" s="10"/>
      <c r="I134" s="10"/>
      <c r="J134" s="10"/>
    </row>
    <row r="135" spans="1:10" x14ac:dyDescent="0.3">
      <c r="A135" s="50"/>
      <c r="B135" s="10"/>
      <c r="C135" s="10"/>
      <c r="D135" s="10"/>
      <c r="E135" s="10"/>
      <c r="F135" s="10"/>
      <c r="G135" s="29"/>
      <c r="H135" s="10"/>
      <c r="I135" s="10"/>
      <c r="J135" s="10"/>
    </row>
    <row r="136" spans="1:10" x14ac:dyDescent="0.3">
      <c r="A136" s="50"/>
      <c r="B136" s="10"/>
      <c r="C136" s="10"/>
      <c r="D136" s="10"/>
      <c r="E136" s="10"/>
      <c r="F136" s="10"/>
      <c r="G136" s="29"/>
      <c r="H136" s="10"/>
      <c r="I136" s="10"/>
      <c r="J136" s="10"/>
    </row>
    <row r="137" spans="1:10" x14ac:dyDescent="0.3">
      <c r="A137" s="50"/>
      <c r="B137" s="10"/>
      <c r="C137" s="10"/>
      <c r="D137" s="10"/>
      <c r="E137" s="10"/>
      <c r="F137" s="10"/>
      <c r="G137" s="29"/>
      <c r="H137" s="10"/>
      <c r="I137" s="10"/>
      <c r="J137" s="10"/>
    </row>
    <row r="138" spans="1:10" x14ac:dyDescent="0.3">
      <c r="A138" s="50"/>
      <c r="B138" s="10"/>
      <c r="C138" s="10"/>
      <c r="D138" s="10"/>
      <c r="E138" s="10"/>
      <c r="F138" s="10"/>
      <c r="G138" s="29"/>
      <c r="H138" s="10"/>
      <c r="I138" s="10"/>
      <c r="J138" s="10"/>
    </row>
    <row r="139" spans="1:10" x14ac:dyDescent="0.3">
      <c r="A139" s="50"/>
      <c r="B139" s="10"/>
      <c r="C139" s="10"/>
      <c r="D139" s="10"/>
      <c r="E139" s="10"/>
      <c r="F139" s="10"/>
      <c r="G139" s="29"/>
      <c r="H139" s="10"/>
      <c r="I139" s="10"/>
      <c r="J139" s="10"/>
    </row>
    <row r="140" spans="1:10" x14ac:dyDescent="0.3">
      <c r="A140" s="50"/>
      <c r="B140" s="10"/>
      <c r="C140" s="10"/>
      <c r="D140" s="10"/>
      <c r="E140" s="10"/>
      <c r="F140" s="10"/>
      <c r="G140" s="29"/>
      <c r="H140" s="10"/>
      <c r="I140" s="10"/>
      <c r="J140" s="10"/>
    </row>
    <row r="141" spans="1:10" x14ac:dyDescent="0.3">
      <c r="A141" s="50"/>
      <c r="B141" s="10"/>
      <c r="C141" s="10"/>
      <c r="D141" s="10"/>
      <c r="E141" s="10"/>
      <c r="F141" s="10"/>
      <c r="G141" s="29"/>
      <c r="H141" s="10"/>
      <c r="I141" s="10"/>
      <c r="J141" s="10"/>
    </row>
    <row r="142" spans="1:10" x14ac:dyDescent="0.3">
      <c r="A142" s="50"/>
      <c r="B142" s="10"/>
      <c r="C142" s="10"/>
      <c r="D142" s="10"/>
      <c r="E142" s="10"/>
      <c r="F142" s="10"/>
      <c r="G142" s="29"/>
      <c r="H142" s="10"/>
      <c r="I142" s="10"/>
      <c r="J142" s="10"/>
    </row>
    <row r="143" spans="1:10" x14ac:dyDescent="0.3">
      <c r="A143" s="50"/>
      <c r="B143" s="10"/>
      <c r="C143" s="10"/>
      <c r="D143" s="10"/>
      <c r="E143" s="10"/>
      <c r="F143" s="10"/>
      <c r="G143" s="29"/>
      <c r="H143" s="10"/>
      <c r="I143" s="10"/>
      <c r="J143" s="10"/>
    </row>
    <row r="144" spans="1:10" x14ac:dyDescent="0.3">
      <c r="A144" s="50"/>
      <c r="B144" s="10"/>
      <c r="C144" s="10"/>
      <c r="D144" s="10"/>
      <c r="E144" s="10"/>
      <c r="F144" s="10"/>
      <c r="G144" s="29"/>
      <c r="H144" s="10"/>
      <c r="I144" s="10"/>
      <c r="J144" s="10"/>
    </row>
    <row r="145" spans="1:10" x14ac:dyDescent="0.3">
      <c r="A145" s="50"/>
      <c r="B145" s="10"/>
      <c r="C145" s="10"/>
      <c r="D145" s="10"/>
      <c r="E145" s="10"/>
      <c r="F145" s="10"/>
      <c r="G145" s="29"/>
      <c r="H145" s="10"/>
      <c r="I145" s="10"/>
      <c r="J145" s="10"/>
    </row>
    <row r="146" spans="1:10" x14ac:dyDescent="0.3">
      <c r="A146" s="50"/>
      <c r="B146" s="10"/>
      <c r="C146" s="10"/>
      <c r="D146" s="10"/>
      <c r="E146" s="10"/>
      <c r="F146" s="10"/>
      <c r="G146" s="29"/>
      <c r="H146" s="10"/>
      <c r="I146" s="10"/>
      <c r="J146" s="10"/>
    </row>
    <row r="147" spans="1:10" x14ac:dyDescent="0.3">
      <c r="A147" s="50"/>
      <c r="B147" s="10"/>
      <c r="C147" s="10"/>
      <c r="D147" s="10"/>
      <c r="E147" s="10"/>
      <c r="F147" s="10"/>
      <c r="G147" s="29"/>
      <c r="H147" s="10"/>
      <c r="I147" s="10"/>
      <c r="J147" s="10"/>
    </row>
    <row r="148" spans="1:10" x14ac:dyDescent="0.3">
      <c r="A148" s="50"/>
      <c r="B148" s="10"/>
      <c r="C148" s="10"/>
      <c r="D148" s="10"/>
      <c r="E148" s="10"/>
      <c r="F148" s="10"/>
      <c r="G148" s="29"/>
      <c r="H148" s="10"/>
      <c r="I148" s="10"/>
      <c r="J148" s="10"/>
    </row>
    <row r="149" spans="1:10" x14ac:dyDescent="0.3">
      <c r="A149" s="50"/>
      <c r="B149" s="10"/>
      <c r="C149" s="10"/>
      <c r="D149" s="10"/>
      <c r="E149" s="10"/>
      <c r="F149" s="10"/>
      <c r="G149" s="29"/>
      <c r="H149" s="10"/>
      <c r="I149" s="10"/>
      <c r="J149" s="10"/>
    </row>
    <row r="150" spans="1:10" x14ac:dyDescent="0.3">
      <c r="A150" s="50"/>
      <c r="B150" s="10"/>
      <c r="C150" s="10"/>
      <c r="D150" s="10"/>
      <c r="E150" s="10"/>
      <c r="F150" s="10"/>
      <c r="G150" s="29"/>
      <c r="H150" s="10"/>
      <c r="I150" s="10"/>
      <c r="J150" s="10"/>
    </row>
    <row r="151" spans="1:10" x14ac:dyDescent="0.3">
      <c r="A151" s="50"/>
      <c r="B151" s="10"/>
      <c r="C151" s="10"/>
      <c r="D151" s="10"/>
      <c r="E151" s="10"/>
      <c r="F151" s="10"/>
      <c r="G151" s="29"/>
      <c r="H151" s="10"/>
      <c r="I151" s="10"/>
      <c r="J151" s="10"/>
    </row>
    <row r="152" spans="1:10" x14ac:dyDescent="0.3">
      <c r="A152" s="50"/>
      <c r="B152" s="10"/>
      <c r="C152" s="10"/>
      <c r="D152" s="10"/>
      <c r="E152" s="10"/>
      <c r="F152" s="10"/>
      <c r="G152" s="29"/>
      <c r="H152" s="10"/>
      <c r="I152" s="10"/>
      <c r="J152" s="10"/>
    </row>
    <row r="153" spans="1:10" x14ac:dyDescent="0.3">
      <c r="A153" s="50"/>
      <c r="B153" s="10"/>
      <c r="C153" s="10"/>
      <c r="D153" s="10"/>
      <c r="E153" s="10"/>
      <c r="F153" s="10"/>
      <c r="G153" s="29"/>
      <c r="H153" s="10"/>
      <c r="I153" s="10"/>
      <c r="J153" s="10"/>
    </row>
    <row r="154" spans="1:10" x14ac:dyDescent="0.3">
      <c r="A154" s="50"/>
      <c r="B154" s="10"/>
      <c r="C154" s="10"/>
      <c r="D154" s="10"/>
      <c r="E154" s="10"/>
      <c r="F154" s="10"/>
      <c r="G154" s="29"/>
      <c r="H154" s="10"/>
      <c r="I154" s="10"/>
      <c r="J154" s="10"/>
    </row>
    <row r="155" spans="1:10" x14ac:dyDescent="0.3">
      <c r="A155" s="50"/>
      <c r="B155" s="10"/>
      <c r="C155" s="10"/>
      <c r="D155" s="10"/>
      <c r="E155" s="10"/>
      <c r="F155" s="10"/>
      <c r="G155" s="29"/>
      <c r="H155" s="10"/>
      <c r="I155" s="10"/>
      <c r="J155" s="10"/>
    </row>
    <row r="156" spans="1:10" x14ac:dyDescent="0.3">
      <c r="A156" s="50"/>
      <c r="B156" s="10"/>
      <c r="C156" s="10"/>
      <c r="D156" s="10"/>
      <c r="E156" s="10"/>
      <c r="F156" s="10"/>
      <c r="G156" s="29"/>
      <c r="H156" s="10"/>
      <c r="I156" s="10"/>
      <c r="J156" s="10"/>
    </row>
    <row r="157" spans="1:10" x14ac:dyDescent="0.3">
      <c r="A157" s="50"/>
      <c r="B157" s="10"/>
      <c r="C157" s="10"/>
      <c r="D157" s="10"/>
      <c r="E157" s="10"/>
      <c r="F157" s="10"/>
      <c r="G157" s="29"/>
      <c r="H157" s="10"/>
      <c r="I157" s="10"/>
      <c r="J157" s="10"/>
    </row>
    <row r="158" spans="1:10" x14ac:dyDescent="0.3">
      <c r="A158" s="50"/>
      <c r="B158" s="10"/>
      <c r="C158" s="10"/>
      <c r="D158" s="10"/>
      <c r="E158" s="10"/>
      <c r="F158" s="10"/>
      <c r="G158" s="29"/>
      <c r="H158" s="10"/>
      <c r="I158" s="10"/>
      <c r="J158" s="10"/>
    </row>
    <row r="159" spans="1:10" x14ac:dyDescent="0.3">
      <c r="A159" s="50"/>
      <c r="B159" s="10"/>
      <c r="C159" s="10"/>
      <c r="D159" s="10"/>
      <c r="E159" s="10"/>
      <c r="F159" s="10"/>
      <c r="G159" s="29"/>
      <c r="H159" s="10"/>
      <c r="I159" s="10"/>
      <c r="J159" s="10"/>
    </row>
    <row r="160" spans="1:10" x14ac:dyDescent="0.3">
      <c r="A160" s="50"/>
      <c r="B160" s="10"/>
      <c r="C160" s="10"/>
      <c r="D160" s="10"/>
      <c r="E160" s="10"/>
      <c r="F160" s="10"/>
      <c r="G160" s="29"/>
      <c r="H160" s="10"/>
      <c r="I160" s="10"/>
      <c r="J160" s="10"/>
    </row>
    <row r="161" spans="1:10" x14ac:dyDescent="0.3">
      <c r="A161" s="50"/>
      <c r="B161" s="10"/>
      <c r="C161" s="10"/>
      <c r="D161" s="10"/>
      <c r="E161" s="10"/>
      <c r="F161" s="10"/>
      <c r="G161" s="29"/>
      <c r="H161" s="10"/>
      <c r="I161" s="10"/>
      <c r="J161" s="10"/>
    </row>
    <row r="162" spans="1:10" x14ac:dyDescent="0.3">
      <c r="A162" s="50"/>
      <c r="B162" s="10"/>
      <c r="C162" s="10"/>
      <c r="D162" s="10"/>
      <c r="E162" s="10"/>
      <c r="F162" s="10"/>
      <c r="G162" s="29"/>
      <c r="H162" s="10"/>
      <c r="I162" s="10"/>
      <c r="J162" s="10"/>
    </row>
    <row r="163" spans="1:10" x14ac:dyDescent="0.3">
      <c r="A163" s="50"/>
      <c r="B163" s="10"/>
      <c r="C163" s="10"/>
      <c r="D163" s="10"/>
      <c r="E163" s="10"/>
      <c r="F163" s="10"/>
      <c r="G163" s="29"/>
      <c r="H163" s="10"/>
      <c r="I163" s="10"/>
      <c r="J163" s="10"/>
    </row>
    <row r="164" spans="1:10" x14ac:dyDescent="0.3">
      <c r="A164" s="50"/>
      <c r="B164" s="10"/>
      <c r="C164" s="10"/>
      <c r="D164" s="10"/>
      <c r="E164" s="10"/>
      <c r="F164" s="10"/>
      <c r="G164" s="29"/>
      <c r="H164" s="10"/>
      <c r="I164" s="10"/>
      <c r="J164" s="10"/>
    </row>
    <row r="165" spans="1:10" x14ac:dyDescent="0.3">
      <c r="A165" s="50"/>
      <c r="B165" s="10"/>
      <c r="C165" s="10"/>
      <c r="D165" s="10"/>
      <c r="E165" s="10"/>
      <c r="F165" s="10"/>
      <c r="G165" s="29"/>
      <c r="H165" s="10"/>
      <c r="I165" s="10"/>
      <c r="J165" s="10"/>
    </row>
    <row r="166" spans="1:10" x14ac:dyDescent="0.3">
      <c r="A166" s="50"/>
      <c r="B166" s="10"/>
      <c r="C166" s="10"/>
      <c r="D166" s="10"/>
      <c r="E166" s="10"/>
      <c r="F166" s="10"/>
      <c r="G166" s="29"/>
      <c r="H166" s="10"/>
      <c r="I166" s="10"/>
      <c r="J166" s="10"/>
    </row>
    <row r="167" spans="1:10" x14ac:dyDescent="0.3">
      <c r="A167" s="50"/>
      <c r="B167" s="10"/>
      <c r="C167" s="10"/>
      <c r="D167" s="10"/>
      <c r="E167" s="10"/>
      <c r="F167" s="10"/>
      <c r="G167" s="29"/>
      <c r="H167" s="10"/>
      <c r="I167" s="10"/>
      <c r="J167" s="10"/>
    </row>
    <row r="168" spans="1:10" x14ac:dyDescent="0.3">
      <c r="A168" s="50"/>
      <c r="B168" s="10"/>
      <c r="C168" s="10"/>
      <c r="D168" s="10"/>
      <c r="E168" s="10"/>
      <c r="F168" s="10"/>
      <c r="G168" s="29"/>
      <c r="H168" s="10"/>
      <c r="I168" s="10"/>
      <c r="J168" s="10"/>
    </row>
    <row r="169" spans="1:10" x14ac:dyDescent="0.3">
      <c r="A169" s="50"/>
      <c r="B169" s="10"/>
      <c r="C169" s="10"/>
      <c r="D169" s="10"/>
      <c r="E169" s="10"/>
      <c r="F169" s="10"/>
      <c r="G169" s="29"/>
      <c r="H169" s="10"/>
      <c r="I169" s="10"/>
      <c r="J169" s="10"/>
    </row>
    <row r="170" spans="1:10" x14ac:dyDescent="0.3">
      <c r="A170" s="50"/>
      <c r="B170" s="10"/>
      <c r="C170" s="10"/>
      <c r="D170" s="10"/>
      <c r="E170" s="10"/>
      <c r="F170" s="10"/>
      <c r="G170" s="29"/>
      <c r="H170" s="10"/>
      <c r="I170" s="10"/>
      <c r="J170" s="10"/>
    </row>
    <row r="171" spans="1:10" x14ac:dyDescent="0.3">
      <c r="A171" s="50"/>
      <c r="B171" s="10"/>
      <c r="C171" s="10"/>
      <c r="D171" s="10"/>
      <c r="E171" s="10"/>
      <c r="F171" s="10"/>
      <c r="G171" s="29"/>
      <c r="H171" s="10"/>
      <c r="I171" s="10"/>
      <c r="J171" s="10"/>
    </row>
    <row r="172" spans="1:10" x14ac:dyDescent="0.3">
      <c r="A172" s="50"/>
      <c r="B172" s="10"/>
      <c r="C172" s="10"/>
      <c r="D172" s="10"/>
      <c r="E172" s="10"/>
      <c r="F172" s="10"/>
      <c r="G172" s="29"/>
      <c r="H172" s="10"/>
      <c r="I172" s="10"/>
      <c r="J172" s="10"/>
    </row>
    <row r="173" spans="1:10" x14ac:dyDescent="0.3">
      <c r="A173" s="50"/>
      <c r="B173" s="10"/>
      <c r="C173" s="10"/>
      <c r="D173" s="10"/>
      <c r="E173" s="10"/>
      <c r="F173" s="10"/>
      <c r="G173" s="29"/>
      <c r="H173" s="10"/>
      <c r="I173" s="10"/>
      <c r="J173" s="10"/>
    </row>
    <row r="174" spans="1:10" x14ac:dyDescent="0.3">
      <c r="A174" s="50"/>
      <c r="B174" s="10"/>
      <c r="C174" s="10"/>
      <c r="D174" s="10"/>
      <c r="E174" s="10"/>
      <c r="F174" s="10"/>
      <c r="G174" s="29"/>
      <c r="H174" s="10"/>
      <c r="I174" s="10"/>
      <c r="J174" s="10"/>
    </row>
    <row r="175" spans="1:10" x14ac:dyDescent="0.3">
      <c r="A175" s="50"/>
      <c r="B175" s="10"/>
      <c r="C175" s="10"/>
      <c r="D175" s="10"/>
      <c r="E175" s="10"/>
      <c r="F175" s="10"/>
      <c r="G175" s="29"/>
      <c r="H175" s="10"/>
      <c r="I175" s="10"/>
      <c r="J175" s="10"/>
    </row>
    <row r="176" spans="1:10" x14ac:dyDescent="0.3">
      <c r="A176" s="50"/>
      <c r="B176" s="10"/>
      <c r="C176" s="10"/>
      <c r="D176" s="10"/>
      <c r="E176" s="10"/>
      <c r="F176" s="10"/>
      <c r="G176" s="29"/>
      <c r="H176" s="10"/>
      <c r="I176" s="10"/>
      <c r="J176" s="10"/>
    </row>
    <row r="177" spans="1:10" x14ac:dyDescent="0.3">
      <c r="A177" s="50"/>
      <c r="B177" s="10"/>
      <c r="C177" s="10"/>
      <c r="D177" s="10"/>
      <c r="E177" s="10"/>
      <c r="F177" s="10"/>
      <c r="G177" s="29"/>
      <c r="H177" s="10"/>
      <c r="I177" s="10"/>
      <c r="J177" s="10"/>
    </row>
    <row r="178" spans="1:10" x14ac:dyDescent="0.3">
      <c r="A178" s="50"/>
      <c r="B178" s="10"/>
      <c r="C178" s="10"/>
      <c r="D178" s="10"/>
      <c r="E178" s="10"/>
      <c r="F178" s="10"/>
      <c r="G178" s="29"/>
      <c r="H178" s="10"/>
      <c r="I178" s="10"/>
      <c r="J178" s="10"/>
    </row>
    <row r="179" spans="1:10" x14ac:dyDescent="0.3">
      <c r="A179" s="50"/>
      <c r="B179" s="10"/>
      <c r="C179" s="10"/>
      <c r="D179" s="10"/>
      <c r="E179" s="10"/>
      <c r="F179" s="10"/>
      <c r="G179" s="29"/>
      <c r="H179" s="10"/>
      <c r="I179" s="10"/>
      <c r="J179" s="10"/>
    </row>
    <row r="180" spans="1:10" x14ac:dyDescent="0.3">
      <c r="A180" s="50"/>
      <c r="B180" s="10"/>
      <c r="C180" s="10"/>
      <c r="D180" s="10"/>
      <c r="E180" s="10"/>
      <c r="F180" s="10"/>
      <c r="G180" s="29"/>
      <c r="H180" s="10"/>
      <c r="I180" s="10"/>
      <c r="J180" s="10"/>
    </row>
    <row r="181" spans="1:10" x14ac:dyDescent="0.3">
      <c r="A181" s="50"/>
      <c r="B181" s="10"/>
      <c r="C181" s="10"/>
      <c r="D181" s="10"/>
      <c r="E181" s="10"/>
      <c r="F181" s="10"/>
      <c r="G181" s="29"/>
      <c r="H181" s="10"/>
      <c r="I181" s="10"/>
      <c r="J181" s="10"/>
    </row>
    <row r="182" spans="1:10" x14ac:dyDescent="0.3">
      <c r="A182" s="50"/>
      <c r="B182" s="10"/>
      <c r="C182" s="10"/>
      <c r="D182" s="10"/>
      <c r="E182" s="10"/>
      <c r="F182" s="10"/>
      <c r="G182" s="29"/>
      <c r="H182" s="10"/>
      <c r="I182" s="10"/>
      <c r="J182" s="10"/>
    </row>
    <row r="183" spans="1:10" x14ac:dyDescent="0.3">
      <c r="A183" s="50"/>
      <c r="B183" s="10"/>
      <c r="C183" s="10"/>
      <c r="D183" s="10"/>
      <c r="E183" s="10"/>
      <c r="F183" s="10"/>
      <c r="G183" s="29"/>
      <c r="H183" s="10"/>
      <c r="I183" s="10"/>
      <c r="J183" s="10"/>
    </row>
    <row r="184" spans="1:10" x14ac:dyDescent="0.3">
      <c r="A184" s="50"/>
      <c r="B184" s="10"/>
      <c r="C184" s="10"/>
      <c r="D184" s="10"/>
      <c r="E184" s="10"/>
      <c r="F184" s="10"/>
      <c r="G184" s="29"/>
      <c r="H184" s="10"/>
      <c r="I184" s="10"/>
      <c r="J184" s="10"/>
    </row>
    <row r="185" spans="1:10" x14ac:dyDescent="0.3">
      <c r="A185" s="50"/>
      <c r="B185" s="10"/>
      <c r="C185" s="10"/>
      <c r="D185" s="10"/>
      <c r="E185" s="10"/>
      <c r="F185" s="10"/>
      <c r="G185" s="29"/>
      <c r="H185" s="10"/>
      <c r="I185" s="10"/>
      <c r="J185" s="10"/>
    </row>
    <row r="186" spans="1:10" x14ac:dyDescent="0.3">
      <c r="A186" s="50"/>
      <c r="B186" s="10"/>
      <c r="C186" s="10"/>
      <c r="D186" s="10"/>
      <c r="E186" s="10"/>
      <c r="F186" s="10"/>
      <c r="G186" s="29"/>
      <c r="H186" s="10"/>
      <c r="I186" s="10"/>
      <c r="J186" s="10"/>
    </row>
    <row r="187" spans="1:10" x14ac:dyDescent="0.3">
      <c r="A187" s="50"/>
      <c r="B187" s="10"/>
      <c r="C187" s="10"/>
      <c r="D187" s="10"/>
      <c r="E187" s="10"/>
      <c r="F187" s="10"/>
      <c r="G187" s="29"/>
      <c r="H187" s="10"/>
      <c r="I187" s="10"/>
      <c r="J187" s="10"/>
    </row>
    <row r="188" spans="1:10" x14ac:dyDescent="0.3">
      <c r="A188" s="50"/>
      <c r="B188" s="10"/>
      <c r="C188" s="10"/>
      <c r="D188" s="10"/>
      <c r="E188" s="10"/>
      <c r="F188" s="10"/>
      <c r="G188" s="29"/>
      <c r="H188" s="10"/>
      <c r="I188" s="10"/>
      <c r="J188" s="10"/>
    </row>
    <row r="189" spans="1:10" x14ac:dyDescent="0.3">
      <c r="A189" s="50"/>
      <c r="B189" s="10"/>
      <c r="C189" s="10"/>
      <c r="D189" s="10"/>
      <c r="E189" s="10"/>
      <c r="F189" s="10"/>
      <c r="G189" s="29"/>
      <c r="H189" s="10"/>
      <c r="I189" s="10"/>
      <c r="J189" s="10"/>
    </row>
    <row r="190" spans="1:10" x14ac:dyDescent="0.3">
      <c r="A190" s="50"/>
      <c r="B190" s="10"/>
      <c r="C190" s="10"/>
      <c r="D190" s="10"/>
      <c r="E190" s="10"/>
      <c r="F190" s="10"/>
      <c r="G190" s="29"/>
      <c r="H190" s="10"/>
      <c r="I190" s="10"/>
      <c r="J190" s="10"/>
    </row>
    <row r="191" spans="1:10" x14ac:dyDescent="0.3">
      <c r="A191" s="50"/>
      <c r="B191" s="10"/>
      <c r="C191" s="10"/>
      <c r="D191" s="10"/>
      <c r="E191" s="10"/>
      <c r="F191" s="10"/>
      <c r="G191" s="29"/>
      <c r="H191" s="10"/>
      <c r="I191" s="10"/>
      <c r="J191" s="10"/>
    </row>
    <row r="192" spans="1:10" x14ac:dyDescent="0.3">
      <c r="A192" s="50"/>
      <c r="B192" s="10"/>
      <c r="C192" s="10"/>
      <c r="D192" s="10"/>
      <c r="E192" s="10"/>
      <c r="F192" s="10"/>
      <c r="G192" s="29"/>
      <c r="H192" s="10"/>
      <c r="I192" s="10"/>
      <c r="J192" s="10"/>
    </row>
    <row r="193" spans="1:10" x14ac:dyDescent="0.3">
      <c r="A193" s="50"/>
      <c r="B193" s="10"/>
      <c r="C193" s="10"/>
      <c r="D193" s="10"/>
      <c r="E193" s="10"/>
      <c r="F193" s="10"/>
      <c r="G193" s="29"/>
      <c r="H193" s="10"/>
      <c r="I193" s="10"/>
      <c r="J193" s="10"/>
    </row>
    <row r="194" spans="1:10" x14ac:dyDescent="0.3">
      <c r="A194" s="50"/>
      <c r="B194" s="10"/>
      <c r="C194" s="10"/>
      <c r="D194" s="10"/>
      <c r="E194" s="10"/>
      <c r="F194" s="10"/>
      <c r="G194" s="29"/>
      <c r="H194" s="10"/>
      <c r="I194" s="10"/>
      <c r="J194" s="10"/>
    </row>
    <row r="195" spans="1:10" x14ac:dyDescent="0.3">
      <c r="A195" s="50"/>
      <c r="B195" s="10"/>
      <c r="C195" s="10"/>
      <c r="D195" s="10"/>
      <c r="E195" s="10"/>
      <c r="F195" s="10"/>
      <c r="G195" s="29"/>
      <c r="H195" s="10"/>
      <c r="I195" s="10"/>
      <c r="J195" s="10"/>
    </row>
    <row r="196" spans="1:10" x14ac:dyDescent="0.3">
      <c r="A196" s="50"/>
      <c r="B196" s="10"/>
      <c r="C196" s="10"/>
      <c r="D196" s="10"/>
      <c r="E196" s="10"/>
      <c r="F196" s="10"/>
      <c r="G196" s="29"/>
      <c r="H196" s="10"/>
      <c r="I196" s="10"/>
      <c r="J196" s="10"/>
    </row>
    <row r="197" spans="1:10" x14ac:dyDescent="0.3">
      <c r="A197" s="50"/>
      <c r="B197" s="10"/>
      <c r="C197" s="10"/>
      <c r="D197" s="10"/>
      <c r="E197" s="10"/>
      <c r="F197" s="10"/>
      <c r="G197" s="29"/>
      <c r="H197" s="10"/>
      <c r="I197" s="10"/>
      <c r="J197" s="10"/>
    </row>
    <row r="198" spans="1:10" x14ac:dyDescent="0.3">
      <c r="A198" s="50"/>
      <c r="B198" s="10"/>
      <c r="C198" s="10"/>
      <c r="D198" s="10"/>
      <c r="E198" s="10"/>
      <c r="F198" s="10"/>
      <c r="G198" s="29"/>
      <c r="H198" s="10"/>
      <c r="I198" s="10"/>
      <c r="J198" s="10"/>
    </row>
    <row r="199" spans="1:10" x14ac:dyDescent="0.3">
      <c r="A199" s="50"/>
      <c r="B199" s="10"/>
      <c r="C199" s="10"/>
      <c r="D199" s="10"/>
      <c r="E199" s="10"/>
      <c r="F199" s="10"/>
      <c r="G199" s="29"/>
      <c r="H199" s="10"/>
      <c r="I199" s="10"/>
      <c r="J199" s="10"/>
    </row>
    <row r="200" spans="1:10" x14ac:dyDescent="0.3">
      <c r="A200" s="50"/>
      <c r="B200" s="10"/>
      <c r="C200" s="10"/>
      <c r="D200" s="10"/>
      <c r="E200" s="10"/>
      <c r="F200" s="10"/>
      <c r="G200" s="29"/>
      <c r="H200" s="10"/>
      <c r="I200" s="10"/>
      <c r="J200" s="10"/>
    </row>
    <row r="201" spans="1:10" x14ac:dyDescent="0.3">
      <c r="A201" s="50"/>
      <c r="B201" s="10"/>
      <c r="C201" s="10"/>
      <c r="D201" s="10"/>
      <c r="E201" s="10"/>
      <c r="F201" s="10"/>
      <c r="G201" s="29"/>
      <c r="H201" s="10"/>
      <c r="I201" s="10"/>
      <c r="J201" s="10"/>
    </row>
    <row r="202" spans="1:10" x14ac:dyDescent="0.3">
      <c r="A202" s="50"/>
      <c r="B202" s="10"/>
      <c r="C202" s="10"/>
      <c r="D202" s="10"/>
      <c r="E202" s="10"/>
      <c r="F202" s="10"/>
      <c r="G202" s="29"/>
      <c r="H202" s="10"/>
      <c r="I202" s="10"/>
      <c r="J202" s="10"/>
    </row>
    <row r="203" spans="1:10" x14ac:dyDescent="0.3">
      <c r="A203" s="50"/>
      <c r="B203" s="10"/>
      <c r="C203" s="10"/>
      <c r="D203" s="10"/>
      <c r="E203" s="10"/>
      <c r="F203" s="10"/>
      <c r="G203" s="29"/>
      <c r="H203" s="10"/>
      <c r="I203" s="10"/>
      <c r="J203" s="10"/>
    </row>
    <row r="204" spans="1:10" x14ac:dyDescent="0.3">
      <c r="A204" s="50"/>
      <c r="B204" s="10"/>
      <c r="C204" s="10"/>
      <c r="D204" s="10"/>
      <c r="E204" s="10"/>
      <c r="F204" s="10"/>
      <c r="G204" s="29"/>
      <c r="H204" s="10"/>
      <c r="I204" s="10"/>
      <c r="J204" s="10"/>
    </row>
    <row r="205" spans="1:10" x14ac:dyDescent="0.3">
      <c r="A205" s="50"/>
      <c r="B205" s="10"/>
      <c r="C205" s="10"/>
      <c r="D205" s="10"/>
      <c r="E205" s="10"/>
      <c r="F205" s="10"/>
      <c r="G205" s="29"/>
      <c r="H205" s="10"/>
      <c r="I205" s="10"/>
      <c r="J205" s="10"/>
    </row>
    <row r="206" spans="1:10" x14ac:dyDescent="0.3">
      <c r="A206" s="50"/>
      <c r="B206" s="10"/>
      <c r="C206" s="10"/>
      <c r="D206" s="10"/>
      <c r="E206" s="10"/>
      <c r="F206" s="10"/>
      <c r="G206" s="29"/>
      <c r="H206" s="10"/>
      <c r="I206" s="10"/>
      <c r="J206" s="10"/>
    </row>
    <row r="207" spans="1:10" x14ac:dyDescent="0.3">
      <c r="A207" s="50"/>
      <c r="B207" s="10"/>
      <c r="C207" s="10"/>
      <c r="D207" s="10"/>
      <c r="E207" s="10"/>
      <c r="F207" s="10"/>
      <c r="G207" s="29"/>
      <c r="H207" s="10"/>
      <c r="I207" s="10"/>
      <c r="J207" s="10"/>
    </row>
    <row r="208" spans="1:10" x14ac:dyDescent="0.3">
      <c r="A208" s="50"/>
      <c r="B208" s="10"/>
      <c r="C208" s="10"/>
      <c r="D208" s="10"/>
      <c r="E208" s="10"/>
      <c r="F208" s="10"/>
      <c r="G208" s="29"/>
      <c r="H208" s="10"/>
      <c r="I208" s="10"/>
      <c r="J208" s="10"/>
    </row>
    <row r="209" spans="1:10" x14ac:dyDescent="0.3">
      <c r="A209" s="50"/>
      <c r="B209" s="10"/>
      <c r="C209" s="10"/>
      <c r="D209" s="10"/>
      <c r="E209" s="10"/>
      <c r="F209" s="10"/>
      <c r="G209" s="29"/>
      <c r="H209" s="10"/>
      <c r="I209" s="10"/>
      <c r="J209" s="10"/>
    </row>
    <row r="210" spans="1:10" x14ac:dyDescent="0.3">
      <c r="A210" s="50"/>
      <c r="B210" s="10"/>
      <c r="C210" s="10"/>
      <c r="D210" s="10"/>
      <c r="E210" s="10"/>
      <c r="F210" s="10"/>
      <c r="G210" s="29"/>
      <c r="H210" s="10"/>
      <c r="I210" s="10"/>
      <c r="J210" s="10"/>
    </row>
    <row r="211" spans="1:10" x14ac:dyDescent="0.3">
      <c r="A211" s="50"/>
      <c r="B211" s="10"/>
      <c r="C211" s="10"/>
      <c r="D211" s="10"/>
      <c r="E211" s="10"/>
      <c r="F211" s="10"/>
      <c r="G211" s="29"/>
      <c r="H211" s="10"/>
      <c r="I211" s="10"/>
      <c r="J211" s="10"/>
    </row>
    <row r="212" spans="1:10" x14ac:dyDescent="0.3">
      <c r="A212" s="50"/>
      <c r="B212" s="10"/>
      <c r="C212" s="10"/>
      <c r="D212" s="10"/>
      <c r="E212" s="10"/>
      <c r="F212" s="10"/>
      <c r="G212" s="29"/>
      <c r="H212" s="10"/>
      <c r="I212" s="10"/>
      <c r="J212" s="10"/>
    </row>
    <row r="213" spans="1:10" x14ac:dyDescent="0.3">
      <c r="A213" s="50"/>
      <c r="B213" s="10"/>
      <c r="C213" s="10"/>
      <c r="D213" s="10"/>
      <c r="E213" s="10"/>
      <c r="F213" s="10"/>
      <c r="G213" s="29"/>
      <c r="H213" s="10"/>
      <c r="I213" s="10"/>
      <c r="J213" s="10"/>
    </row>
    <row r="214" spans="1:10" x14ac:dyDescent="0.3">
      <c r="A214" s="50"/>
      <c r="B214" s="10"/>
      <c r="C214" s="10"/>
      <c r="D214" s="10"/>
      <c r="E214" s="10"/>
      <c r="F214" s="10"/>
      <c r="G214" s="29"/>
      <c r="H214" s="10"/>
      <c r="I214" s="10"/>
      <c r="J214" s="10"/>
    </row>
    <row r="215" spans="1:10" x14ac:dyDescent="0.3">
      <c r="A215" s="50"/>
      <c r="B215" s="10"/>
      <c r="C215" s="10"/>
      <c r="D215" s="10"/>
      <c r="E215" s="10"/>
      <c r="F215" s="10"/>
      <c r="G215" s="29"/>
      <c r="H215" s="10"/>
      <c r="I215" s="10"/>
      <c r="J215" s="10"/>
    </row>
    <row r="216" spans="1:10" x14ac:dyDescent="0.3">
      <c r="A216" s="50"/>
      <c r="B216" s="10"/>
      <c r="C216" s="10"/>
      <c r="D216" s="10"/>
      <c r="E216" s="10"/>
      <c r="F216" s="10"/>
      <c r="G216" s="29"/>
      <c r="H216" s="10"/>
      <c r="I216" s="10"/>
      <c r="J216" s="10"/>
    </row>
    <row r="217" spans="1:10" x14ac:dyDescent="0.3">
      <c r="A217" s="50"/>
      <c r="B217" s="10"/>
      <c r="C217" s="10"/>
      <c r="D217" s="10"/>
      <c r="E217" s="10"/>
      <c r="F217" s="10"/>
      <c r="G217" s="29"/>
      <c r="H217" s="10"/>
      <c r="I217" s="10"/>
      <c r="J217" s="10"/>
    </row>
    <row r="218" spans="1:10" x14ac:dyDescent="0.3">
      <c r="A218" s="50"/>
      <c r="B218" s="10"/>
      <c r="C218" s="10"/>
      <c r="D218" s="10"/>
      <c r="E218" s="10"/>
      <c r="F218" s="10"/>
      <c r="G218" s="29"/>
      <c r="H218" s="10"/>
      <c r="I218" s="10"/>
      <c r="J218" s="10"/>
    </row>
    <row r="219" spans="1:10" x14ac:dyDescent="0.3">
      <c r="A219" s="50"/>
      <c r="B219" s="10"/>
      <c r="C219" s="10"/>
      <c r="D219" s="10"/>
      <c r="E219" s="10"/>
      <c r="F219" s="10"/>
      <c r="G219" s="29"/>
      <c r="H219" s="10"/>
      <c r="I219" s="10"/>
      <c r="J219" s="10"/>
    </row>
    <row r="220" spans="1:10" x14ac:dyDescent="0.3">
      <c r="A220" s="50"/>
      <c r="B220" s="10"/>
      <c r="C220" s="10"/>
      <c r="D220" s="10"/>
      <c r="E220" s="10"/>
      <c r="F220" s="10"/>
      <c r="G220" s="29"/>
      <c r="H220" s="10"/>
      <c r="I220" s="10"/>
      <c r="J220" s="10"/>
    </row>
    <row r="221" spans="1:10" x14ac:dyDescent="0.3">
      <c r="A221" s="50"/>
      <c r="B221" s="10"/>
      <c r="C221" s="10"/>
      <c r="D221" s="10"/>
      <c r="E221" s="10"/>
      <c r="F221" s="10"/>
      <c r="G221" s="29"/>
      <c r="H221" s="10"/>
      <c r="I221" s="10"/>
      <c r="J221" s="10"/>
    </row>
    <row r="222" spans="1:10" x14ac:dyDescent="0.3">
      <c r="A222" s="50"/>
      <c r="B222" s="10"/>
      <c r="C222" s="10"/>
      <c r="D222" s="10"/>
      <c r="E222" s="10"/>
      <c r="F222" s="10"/>
      <c r="G222" s="29"/>
      <c r="H222" s="10"/>
      <c r="I222" s="10"/>
      <c r="J222" s="10"/>
    </row>
    <row r="223" spans="1:10" x14ac:dyDescent="0.3">
      <c r="A223" s="50"/>
      <c r="B223" s="10"/>
      <c r="C223" s="10"/>
      <c r="D223" s="10"/>
      <c r="E223" s="10"/>
      <c r="F223" s="10"/>
      <c r="G223" s="29"/>
      <c r="H223" s="10"/>
      <c r="I223" s="10"/>
      <c r="J223" s="10"/>
    </row>
    <row r="224" spans="1:10" x14ac:dyDescent="0.3">
      <c r="A224" s="50"/>
      <c r="B224" s="10"/>
      <c r="C224" s="10"/>
      <c r="D224" s="10"/>
      <c r="E224" s="10"/>
      <c r="F224" s="10"/>
      <c r="G224" s="29"/>
      <c r="H224" s="10"/>
      <c r="I224" s="10"/>
      <c r="J224" s="10"/>
    </row>
    <row r="225" spans="1:10" x14ac:dyDescent="0.3">
      <c r="A225" s="50"/>
      <c r="B225" s="10"/>
      <c r="C225" s="10"/>
      <c r="D225" s="10"/>
      <c r="E225" s="10"/>
      <c r="F225" s="10"/>
      <c r="G225" s="29"/>
      <c r="H225" s="10"/>
      <c r="I225" s="10"/>
      <c r="J225" s="10"/>
    </row>
    <row r="226" spans="1:10" x14ac:dyDescent="0.3">
      <c r="A226" s="50"/>
      <c r="B226" s="10"/>
      <c r="C226" s="10"/>
      <c r="D226" s="10"/>
      <c r="E226" s="10"/>
      <c r="F226" s="10"/>
      <c r="G226" s="29"/>
      <c r="H226" s="10"/>
      <c r="I226" s="10"/>
      <c r="J226" s="10"/>
    </row>
    <row r="227" spans="1:10" x14ac:dyDescent="0.3">
      <c r="A227" s="50"/>
      <c r="B227" s="10"/>
      <c r="C227" s="10"/>
      <c r="D227" s="10"/>
      <c r="E227" s="10"/>
      <c r="F227" s="10"/>
      <c r="G227" s="29"/>
      <c r="H227" s="10"/>
      <c r="I227" s="10"/>
      <c r="J227" s="10"/>
    </row>
    <row r="228" spans="1:10" x14ac:dyDescent="0.3">
      <c r="A228" s="50"/>
      <c r="B228" s="10"/>
      <c r="C228" s="10"/>
      <c r="D228" s="10"/>
      <c r="E228" s="10"/>
      <c r="F228" s="10"/>
      <c r="G228" s="29"/>
      <c r="H228" s="10"/>
      <c r="I228" s="10"/>
      <c r="J228" s="10"/>
    </row>
    <row r="229" spans="1:10" x14ac:dyDescent="0.3">
      <c r="A229" s="50"/>
      <c r="B229" s="10"/>
      <c r="C229" s="10"/>
      <c r="D229" s="10"/>
      <c r="E229" s="10"/>
      <c r="F229" s="10"/>
      <c r="G229" s="29"/>
      <c r="H229" s="10"/>
      <c r="I229" s="10"/>
      <c r="J229" s="10"/>
    </row>
    <row r="230" spans="1:10" x14ac:dyDescent="0.3">
      <c r="A230" s="50"/>
      <c r="B230" s="10"/>
      <c r="C230" s="10"/>
      <c r="D230" s="10"/>
      <c r="E230" s="10"/>
      <c r="F230" s="10"/>
      <c r="G230" s="29"/>
      <c r="H230" s="10"/>
      <c r="I230" s="10"/>
      <c r="J230" s="10"/>
    </row>
    <row r="231" spans="1:10" x14ac:dyDescent="0.3">
      <c r="A231" s="50"/>
      <c r="B231" s="10"/>
      <c r="C231" s="10"/>
      <c r="D231" s="10"/>
      <c r="E231" s="10"/>
      <c r="F231" s="10"/>
      <c r="G231" s="29"/>
      <c r="H231" s="10"/>
      <c r="I231" s="10"/>
      <c r="J231" s="10"/>
    </row>
    <row r="232" spans="1:10" x14ac:dyDescent="0.3">
      <c r="A232" s="50"/>
      <c r="B232" s="10"/>
      <c r="C232" s="10"/>
      <c r="D232" s="10"/>
      <c r="E232" s="10"/>
      <c r="F232" s="10"/>
      <c r="G232" s="29"/>
      <c r="H232" s="10"/>
      <c r="I232" s="10"/>
      <c r="J232" s="10"/>
    </row>
    <row r="233" spans="1:10" x14ac:dyDescent="0.3">
      <c r="A233" s="50"/>
      <c r="B233" s="10"/>
      <c r="C233" s="10"/>
      <c r="D233" s="10"/>
      <c r="E233" s="10"/>
      <c r="F233" s="10"/>
      <c r="G233" s="29"/>
      <c r="H233" s="10"/>
      <c r="I233" s="10"/>
      <c r="J233" s="10"/>
    </row>
    <row r="234" spans="1:10" x14ac:dyDescent="0.3">
      <c r="A234" s="50"/>
      <c r="B234" s="10"/>
      <c r="C234" s="10"/>
      <c r="D234" s="10"/>
      <c r="E234" s="10"/>
      <c r="F234" s="10"/>
      <c r="G234" s="29"/>
      <c r="H234" s="10"/>
      <c r="I234" s="10"/>
      <c r="J234" s="10"/>
    </row>
    <row r="235" spans="1:10" x14ac:dyDescent="0.3">
      <c r="A235" s="50"/>
      <c r="B235" s="10"/>
      <c r="C235" s="10"/>
      <c r="D235" s="10"/>
      <c r="E235" s="10"/>
      <c r="F235" s="10"/>
      <c r="G235" s="29"/>
      <c r="H235" s="10"/>
      <c r="I235" s="10"/>
      <c r="J235" s="10"/>
    </row>
    <row r="236" spans="1:10" x14ac:dyDescent="0.3">
      <c r="A236" s="50"/>
      <c r="B236" s="10"/>
      <c r="C236" s="10"/>
      <c r="D236" s="10"/>
      <c r="E236" s="10"/>
      <c r="F236" s="10"/>
      <c r="G236" s="29"/>
      <c r="H236" s="10"/>
      <c r="I236" s="10"/>
      <c r="J236" s="10"/>
    </row>
    <row r="237" spans="1:10" x14ac:dyDescent="0.3">
      <c r="A237" s="50"/>
      <c r="B237" s="10"/>
      <c r="C237" s="10"/>
      <c r="D237" s="10"/>
      <c r="E237" s="10"/>
      <c r="F237" s="10"/>
      <c r="G237" s="29"/>
      <c r="H237" s="10"/>
      <c r="I237" s="10"/>
      <c r="J237" s="10"/>
    </row>
    <row r="238" spans="1:10" x14ac:dyDescent="0.3">
      <c r="A238" s="50"/>
      <c r="B238" s="10"/>
      <c r="C238" s="10"/>
      <c r="D238" s="10"/>
      <c r="E238" s="10"/>
      <c r="F238" s="10"/>
      <c r="G238" s="29"/>
      <c r="H238" s="10"/>
      <c r="I238" s="10"/>
      <c r="J238" s="10"/>
    </row>
    <row r="239" spans="1:10" x14ac:dyDescent="0.3">
      <c r="A239" s="50"/>
      <c r="B239" s="10"/>
      <c r="C239" s="10"/>
      <c r="D239" s="10"/>
      <c r="E239" s="10"/>
      <c r="F239" s="10"/>
      <c r="G239" s="29"/>
      <c r="H239" s="10"/>
      <c r="I239" s="10"/>
      <c r="J239" s="10"/>
    </row>
    <row r="240" spans="1:10" x14ac:dyDescent="0.3">
      <c r="A240" s="50"/>
      <c r="B240" s="10"/>
      <c r="C240" s="10"/>
      <c r="D240" s="10"/>
      <c r="E240" s="10"/>
      <c r="F240" s="10"/>
      <c r="G240" s="29"/>
      <c r="H240" s="10"/>
      <c r="I240" s="10"/>
      <c r="J240" s="10"/>
    </row>
    <row r="241" spans="1:10" x14ac:dyDescent="0.3">
      <c r="A241" s="50"/>
      <c r="B241" s="10"/>
      <c r="C241" s="10"/>
      <c r="D241" s="10"/>
      <c r="E241" s="10"/>
      <c r="F241" s="10"/>
      <c r="G241" s="29"/>
      <c r="H241" s="10"/>
      <c r="I241" s="10"/>
      <c r="J241" s="10"/>
    </row>
    <row r="242" spans="1:10" x14ac:dyDescent="0.3">
      <c r="A242" s="50"/>
      <c r="B242" s="10"/>
      <c r="C242" s="10"/>
      <c r="D242" s="10"/>
      <c r="E242" s="10"/>
      <c r="F242" s="10"/>
      <c r="G242" s="29"/>
      <c r="H242" s="10"/>
      <c r="I242" s="10"/>
      <c r="J242" s="10"/>
    </row>
    <row r="243" spans="1:10" x14ac:dyDescent="0.3">
      <c r="A243" s="50"/>
      <c r="B243" s="10"/>
      <c r="C243" s="10"/>
      <c r="D243" s="10"/>
      <c r="E243" s="10"/>
      <c r="F243" s="10"/>
      <c r="G243" s="29"/>
      <c r="H243" s="10"/>
      <c r="I243" s="10"/>
      <c r="J243" s="10"/>
    </row>
    <row r="244" spans="1:10" x14ac:dyDescent="0.3">
      <c r="A244" s="50"/>
      <c r="B244" s="10"/>
      <c r="C244" s="10"/>
      <c r="D244" s="10"/>
      <c r="E244" s="10"/>
      <c r="F244" s="10"/>
      <c r="G244" s="29"/>
      <c r="H244" s="10"/>
      <c r="I244" s="10"/>
      <c r="J244" s="10"/>
    </row>
    <row r="245" spans="1:10" x14ac:dyDescent="0.3">
      <c r="A245" s="50"/>
      <c r="B245" s="10"/>
      <c r="C245" s="10"/>
      <c r="D245" s="10"/>
      <c r="E245" s="10"/>
      <c r="F245" s="10"/>
      <c r="G245" s="29"/>
      <c r="H245" s="10"/>
      <c r="I245" s="10"/>
      <c r="J245" s="10"/>
    </row>
    <row r="246" spans="1:10" x14ac:dyDescent="0.3">
      <c r="A246" s="50"/>
      <c r="B246" s="10"/>
      <c r="C246" s="10"/>
      <c r="D246" s="10"/>
      <c r="E246" s="10"/>
      <c r="F246" s="10"/>
      <c r="G246" s="29"/>
      <c r="H246" s="10"/>
      <c r="I246" s="10"/>
      <c r="J246" s="10"/>
    </row>
    <row r="247" spans="1:10" x14ac:dyDescent="0.3">
      <c r="A247" s="50"/>
      <c r="B247" s="10"/>
      <c r="C247" s="10"/>
      <c r="D247" s="10"/>
      <c r="E247" s="10"/>
      <c r="F247" s="10"/>
      <c r="G247" s="29"/>
      <c r="H247" s="10"/>
      <c r="I247" s="10"/>
      <c r="J247" s="10"/>
    </row>
    <row r="248" spans="1:10" x14ac:dyDescent="0.3">
      <c r="A248" s="50"/>
      <c r="B248" s="10"/>
      <c r="C248" s="10"/>
      <c r="D248" s="10"/>
      <c r="E248" s="10"/>
      <c r="F248" s="10"/>
      <c r="G248" s="29"/>
      <c r="H248" s="10"/>
      <c r="I248" s="10"/>
      <c r="J248" s="10"/>
    </row>
    <row r="249" spans="1:10" x14ac:dyDescent="0.3">
      <c r="A249" s="50"/>
      <c r="B249" s="10"/>
      <c r="C249" s="10"/>
      <c r="D249" s="10"/>
      <c r="E249" s="10"/>
      <c r="F249" s="10"/>
      <c r="G249" s="29"/>
      <c r="H249" s="10"/>
      <c r="I249" s="10"/>
      <c r="J249" s="10"/>
    </row>
    <row r="250" spans="1:10" x14ac:dyDescent="0.3">
      <c r="A250" s="50"/>
      <c r="B250" s="10"/>
      <c r="C250" s="10"/>
      <c r="D250" s="10"/>
      <c r="E250" s="10"/>
      <c r="F250" s="10"/>
      <c r="G250" s="29"/>
      <c r="H250" s="10"/>
      <c r="I250" s="10"/>
      <c r="J250" s="10"/>
    </row>
    <row r="251" spans="1:10" x14ac:dyDescent="0.3">
      <c r="A251" s="50"/>
      <c r="B251" s="10"/>
      <c r="C251" s="10"/>
      <c r="D251" s="10"/>
      <c r="E251" s="10"/>
      <c r="F251" s="10"/>
      <c r="G251" s="29"/>
      <c r="H251" s="10"/>
      <c r="I251" s="10"/>
      <c r="J251" s="10"/>
    </row>
    <row r="252" spans="1:10" x14ac:dyDescent="0.3">
      <c r="A252" s="50"/>
      <c r="B252" s="10"/>
      <c r="C252" s="10"/>
      <c r="D252" s="10"/>
      <c r="E252" s="10"/>
      <c r="F252" s="10"/>
      <c r="G252" s="29"/>
      <c r="H252" s="10"/>
      <c r="I252" s="10"/>
      <c r="J252" s="10"/>
    </row>
    <row r="253" spans="1:10" x14ac:dyDescent="0.3">
      <c r="A253" s="50"/>
      <c r="B253" s="10"/>
      <c r="C253" s="10"/>
      <c r="D253" s="10"/>
      <c r="E253" s="10"/>
      <c r="F253" s="10"/>
      <c r="G253" s="29"/>
      <c r="H253" s="10"/>
      <c r="I253" s="10"/>
      <c r="J253" s="10"/>
    </row>
    <row r="254" spans="1:10" x14ac:dyDescent="0.3">
      <c r="A254" s="50"/>
      <c r="B254" s="10"/>
      <c r="C254" s="10"/>
      <c r="D254" s="10"/>
      <c r="E254" s="10"/>
      <c r="F254" s="10"/>
      <c r="G254" s="29"/>
      <c r="H254" s="10"/>
      <c r="I254" s="10"/>
      <c r="J254" s="10"/>
    </row>
    <row r="255" spans="1:10" x14ac:dyDescent="0.3">
      <c r="A255" s="50"/>
      <c r="B255" s="10"/>
      <c r="C255" s="10"/>
      <c r="D255" s="10"/>
      <c r="E255" s="10"/>
      <c r="F255" s="10"/>
      <c r="G255" s="29"/>
      <c r="H255" s="10"/>
      <c r="I255" s="10"/>
      <c r="J255" s="10"/>
    </row>
    <row r="256" spans="1:10" x14ac:dyDescent="0.3">
      <c r="A256" s="50"/>
      <c r="B256" s="10"/>
      <c r="C256" s="10"/>
      <c r="D256" s="10"/>
      <c r="E256" s="10"/>
      <c r="F256" s="10"/>
      <c r="G256" s="29"/>
      <c r="H256" s="10"/>
      <c r="I256" s="10"/>
      <c r="J256" s="10"/>
    </row>
    <row r="257" spans="1:10" x14ac:dyDescent="0.3">
      <c r="A257" s="50"/>
      <c r="B257" s="10"/>
      <c r="C257" s="10"/>
      <c r="D257" s="10"/>
      <c r="E257" s="10"/>
      <c r="F257" s="10"/>
      <c r="G257" s="29"/>
      <c r="H257" s="10"/>
      <c r="I257" s="10"/>
      <c r="J257" s="10"/>
    </row>
    <row r="258" spans="1:10" x14ac:dyDescent="0.3">
      <c r="A258" s="50"/>
      <c r="B258" s="10"/>
      <c r="C258" s="10"/>
      <c r="D258" s="10"/>
      <c r="E258" s="10"/>
      <c r="F258" s="10"/>
      <c r="G258" s="29"/>
      <c r="H258" s="10"/>
      <c r="I258" s="10"/>
      <c r="J258" s="10"/>
    </row>
    <row r="259" spans="1:10" x14ac:dyDescent="0.3">
      <c r="A259" s="50"/>
      <c r="B259" s="10"/>
      <c r="C259" s="10"/>
      <c r="D259" s="10"/>
      <c r="E259" s="10"/>
      <c r="F259" s="10"/>
      <c r="G259" s="29"/>
      <c r="H259" s="10"/>
      <c r="I259" s="10"/>
      <c r="J259" s="10"/>
    </row>
    <row r="260" spans="1:10" x14ac:dyDescent="0.3">
      <c r="A260" s="50"/>
      <c r="B260" s="10"/>
      <c r="C260" s="10"/>
      <c r="D260" s="10"/>
      <c r="E260" s="10"/>
      <c r="F260" s="10"/>
      <c r="G260" s="29"/>
      <c r="H260" s="10"/>
      <c r="I260" s="10"/>
      <c r="J260" s="10"/>
    </row>
    <row r="261" spans="1:10" x14ac:dyDescent="0.3">
      <c r="A261" s="50"/>
      <c r="B261" s="10"/>
      <c r="C261" s="10"/>
      <c r="D261" s="10"/>
      <c r="E261" s="10"/>
      <c r="F261" s="10"/>
      <c r="G261" s="29"/>
      <c r="H261" s="10"/>
      <c r="I261" s="10"/>
      <c r="J261" s="10"/>
    </row>
    <row r="262" spans="1:10" x14ac:dyDescent="0.3">
      <c r="A262" s="50"/>
      <c r="B262" s="10"/>
      <c r="C262" s="10"/>
      <c r="D262" s="10"/>
      <c r="E262" s="10"/>
      <c r="F262" s="10"/>
      <c r="G262" s="29"/>
      <c r="H262" s="10"/>
      <c r="I262" s="10"/>
      <c r="J262" s="10"/>
    </row>
    <row r="263" spans="1:10" x14ac:dyDescent="0.3">
      <c r="A263" s="50"/>
      <c r="B263" s="10"/>
      <c r="C263" s="10"/>
      <c r="D263" s="10"/>
      <c r="E263" s="10"/>
      <c r="F263" s="10"/>
      <c r="G263" s="29"/>
      <c r="H263" s="10"/>
      <c r="I263" s="10"/>
      <c r="J263" s="10"/>
    </row>
    <row r="264" spans="1:10" x14ac:dyDescent="0.3">
      <c r="A264" s="50"/>
      <c r="B264" s="10"/>
      <c r="C264" s="10"/>
      <c r="D264" s="10"/>
      <c r="E264" s="10"/>
      <c r="F264" s="10"/>
      <c r="G264" s="29"/>
      <c r="H264" s="10"/>
      <c r="I264" s="10"/>
      <c r="J264" s="10"/>
    </row>
    <row r="265" spans="1:10" x14ac:dyDescent="0.3">
      <c r="A265" s="50"/>
      <c r="B265" s="10"/>
      <c r="C265" s="10"/>
      <c r="D265" s="10"/>
      <c r="E265" s="10"/>
      <c r="F265" s="10"/>
      <c r="G265" s="29"/>
      <c r="H265" s="10"/>
      <c r="I265" s="10"/>
      <c r="J265" s="10"/>
    </row>
    <row r="266" spans="1:10" x14ac:dyDescent="0.3">
      <c r="A266" s="50"/>
      <c r="B266" s="10"/>
      <c r="C266" s="10"/>
      <c r="D266" s="10"/>
      <c r="E266" s="10"/>
      <c r="F266" s="10"/>
      <c r="G266" s="29"/>
      <c r="H266" s="10"/>
      <c r="I266" s="10"/>
      <c r="J266" s="10"/>
    </row>
    <row r="267" spans="1:10" x14ac:dyDescent="0.3">
      <c r="A267" s="50"/>
      <c r="B267" s="10"/>
      <c r="C267" s="10"/>
      <c r="D267" s="10"/>
      <c r="E267" s="10"/>
      <c r="F267" s="10"/>
      <c r="G267" s="29"/>
      <c r="H267" s="10"/>
      <c r="I267" s="10"/>
      <c r="J267" s="10"/>
    </row>
    <row r="268" spans="1:10" x14ac:dyDescent="0.3">
      <c r="A268" s="50"/>
      <c r="B268" s="10"/>
      <c r="C268" s="10"/>
      <c r="D268" s="10"/>
      <c r="E268" s="10"/>
      <c r="F268" s="10"/>
      <c r="G268" s="29"/>
      <c r="H268" s="10"/>
      <c r="I268" s="10"/>
      <c r="J268" s="10"/>
    </row>
    <row r="269" spans="1:10" x14ac:dyDescent="0.3">
      <c r="A269" s="50"/>
      <c r="B269" s="10"/>
      <c r="C269" s="10"/>
      <c r="D269" s="10"/>
      <c r="E269" s="10"/>
      <c r="F269" s="10"/>
      <c r="G269" s="29"/>
      <c r="H269" s="10"/>
      <c r="I269" s="10"/>
      <c r="J269" s="10"/>
    </row>
    <row r="270" spans="1:10" x14ac:dyDescent="0.3">
      <c r="A270" s="50"/>
      <c r="B270" s="10"/>
      <c r="C270" s="10"/>
      <c r="D270" s="10"/>
      <c r="E270" s="10"/>
      <c r="F270" s="10"/>
      <c r="G270" s="29"/>
      <c r="H270" s="10"/>
      <c r="I270" s="10"/>
      <c r="J270" s="10"/>
    </row>
    <row r="271" spans="1:10" x14ac:dyDescent="0.3">
      <c r="A271" s="50"/>
      <c r="B271" s="10"/>
      <c r="C271" s="10"/>
      <c r="D271" s="10"/>
      <c r="E271" s="10"/>
      <c r="F271" s="10"/>
      <c r="G271" s="29"/>
      <c r="H271" s="10"/>
      <c r="I271" s="10"/>
      <c r="J271" s="10"/>
    </row>
    <row r="272" spans="1:10" x14ac:dyDescent="0.3">
      <c r="A272" s="50"/>
      <c r="B272" s="10"/>
      <c r="C272" s="10"/>
      <c r="D272" s="10"/>
      <c r="E272" s="10"/>
      <c r="F272" s="10"/>
      <c r="G272" s="29"/>
      <c r="H272" s="10"/>
      <c r="I272" s="10"/>
      <c r="J272" s="10"/>
    </row>
    <row r="273" spans="1:10" x14ac:dyDescent="0.3">
      <c r="A273" s="50"/>
      <c r="B273" s="10"/>
      <c r="C273" s="10"/>
      <c r="D273" s="10"/>
      <c r="E273" s="10"/>
      <c r="F273" s="10"/>
      <c r="G273" s="29"/>
      <c r="H273" s="10"/>
      <c r="I273" s="10"/>
      <c r="J273" s="10"/>
    </row>
    <row r="274" spans="1:10" x14ac:dyDescent="0.3">
      <c r="A274" s="50"/>
      <c r="B274" s="10"/>
      <c r="C274" s="10"/>
      <c r="D274" s="10"/>
      <c r="E274" s="10"/>
      <c r="F274" s="10"/>
      <c r="G274" s="29"/>
      <c r="H274" s="10"/>
      <c r="I274" s="10"/>
      <c r="J274" s="10"/>
    </row>
    <row r="275" spans="1:10" x14ac:dyDescent="0.3">
      <c r="A275" s="50"/>
      <c r="B275" s="10"/>
      <c r="C275" s="10"/>
      <c r="D275" s="10"/>
      <c r="E275" s="10"/>
      <c r="F275" s="10"/>
      <c r="G275" s="29"/>
      <c r="H275" s="10"/>
      <c r="I275" s="10"/>
      <c r="J275" s="10"/>
    </row>
    <row r="276" spans="1:10" x14ac:dyDescent="0.3">
      <c r="A276" s="50"/>
      <c r="B276" s="10"/>
      <c r="C276" s="10"/>
      <c r="D276" s="10"/>
      <c r="E276" s="10"/>
      <c r="F276" s="10"/>
      <c r="G276" s="29"/>
      <c r="H276" s="10"/>
      <c r="I276" s="10"/>
      <c r="J276" s="10"/>
    </row>
    <row r="277" spans="1:10" x14ac:dyDescent="0.3">
      <c r="A277" s="50"/>
      <c r="B277" s="10"/>
      <c r="C277" s="10"/>
      <c r="D277" s="10"/>
      <c r="E277" s="10"/>
      <c r="F277" s="10"/>
      <c r="G277" s="29"/>
      <c r="H277" s="10"/>
      <c r="I277" s="10"/>
      <c r="J277" s="10"/>
    </row>
    <row r="278" spans="1:10" x14ac:dyDescent="0.3">
      <c r="A278" s="50"/>
      <c r="B278" s="10"/>
      <c r="C278" s="10"/>
      <c r="D278" s="10"/>
      <c r="E278" s="10"/>
      <c r="F278" s="10"/>
      <c r="G278" s="29"/>
      <c r="H278" s="10"/>
      <c r="I278" s="10"/>
      <c r="J278" s="10"/>
    </row>
    <row r="279" spans="1:10" x14ac:dyDescent="0.3">
      <c r="A279" s="50"/>
      <c r="B279" s="10"/>
      <c r="C279" s="10"/>
      <c r="D279" s="10"/>
      <c r="E279" s="10"/>
      <c r="F279" s="10"/>
      <c r="G279" s="29"/>
      <c r="H279" s="10"/>
      <c r="I279" s="10"/>
      <c r="J279" s="10"/>
    </row>
    <row r="280" spans="1:10" x14ac:dyDescent="0.3">
      <c r="A280" s="50"/>
      <c r="B280" s="10"/>
      <c r="C280" s="10"/>
      <c r="D280" s="10"/>
      <c r="E280" s="10"/>
      <c r="F280" s="10"/>
      <c r="G280" s="29"/>
      <c r="H280" s="10"/>
      <c r="I280" s="10"/>
      <c r="J280" s="10"/>
    </row>
    <row r="281" spans="1:10" x14ac:dyDescent="0.3">
      <c r="A281" s="50"/>
      <c r="B281" s="10"/>
      <c r="C281" s="10"/>
      <c r="D281" s="10"/>
      <c r="E281" s="10"/>
      <c r="F281" s="10"/>
      <c r="G281" s="29"/>
      <c r="H281" s="10"/>
      <c r="I281" s="10"/>
      <c r="J281" s="10"/>
    </row>
    <row r="282" spans="1:10" x14ac:dyDescent="0.3">
      <c r="A282" s="50"/>
      <c r="B282" s="10"/>
      <c r="C282" s="10"/>
      <c r="D282" s="10"/>
      <c r="E282" s="10"/>
      <c r="F282" s="10"/>
      <c r="G282" s="29"/>
      <c r="H282" s="10"/>
      <c r="I282" s="10"/>
      <c r="J282" s="10"/>
    </row>
    <row r="283" spans="1:10" x14ac:dyDescent="0.3">
      <c r="A283" s="50"/>
      <c r="B283" s="10"/>
      <c r="C283" s="10"/>
      <c r="D283" s="10"/>
      <c r="E283" s="10"/>
      <c r="F283" s="10"/>
      <c r="G283" s="29"/>
      <c r="H283" s="10"/>
      <c r="I283" s="10"/>
      <c r="J283" s="10"/>
    </row>
    <row r="284" spans="1:10" x14ac:dyDescent="0.3">
      <c r="A284" s="50"/>
      <c r="B284" s="10"/>
      <c r="C284" s="10"/>
      <c r="D284" s="10"/>
      <c r="E284" s="10"/>
      <c r="F284" s="10"/>
      <c r="G284" s="29"/>
      <c r="H284" s="10"/>
      <c r="I284" s="10"/>
      <c r="J284" s="10"/>
    </row>
    <row r="285" spans="1:10" x14ac:dyDescent="0.3">
      <c r="A285" s="50"/>
      <c r="B285" s="10"/>
      <c r="C285" s="10"/>
      <c r="D285" s="10"/>
      <c r="E285" s="10"/>
      <c r="F285" s="10"/>
      <c r="G285" s="29"/>
      <c r="H285" s="10"/>
      <c r="I285" s="10"/>
      <c r="J285" s="10"/>
    </row>
    <row r="286" spans="1:10" x14ac:dyDescent="0.3">
      <c r="A286" s="50"/>
      <c r="B286" s="10"/>
      <c r="C286" s="10"/>
      <c r="D286" s="10"/>
      <c r="E286" s="10"/>
      <c r="F286" s="10"/>
      <c r="G286" s="29"/>
      <c r="H286" s="10"/>
      <c r="I286" s="10"/>
      <c r="J286" s="10"/>
    </row>
    <row r="287" spans="1:10" x14ac:dyDescent="0.3">
      <c r="A287" s="50"/>
      <c r="B287" s="10"/>
      <c r="C287" s="10"/>
      <c r="D287" s="10"/>
      <c r="E287" s="10"/>
      <c r="F287" s="10"/>
      <c r="G287" s="29"/>
      <c r="H287" s="10"/>
      <c r="I287" s="10"/>
      <c r="J287" s="10"/>
    </row>
    <row r="288" spans="1:10" x14ac:dyDescent="0.3">
      <c r="A288" s="50"/>
      <c r="B288" s="10"/>
      <c r="C288" s="10"/>
      <c r="D288" s="10"/>
      <c r="E288" s="10"/>
      <c r="F288" s="10"/>
      <c r="G288" s="29"/>
      <c r="H288" s="10"/>
      <c r="I288" s="10"/>
      <c r="J288" s="10"/>
    </row>
    <row r="289" spans="1:10" x14ac:dyDescent="0.3">
      <c r="A289" s="50"/>
      <c r="B289" s="10"/>
      <c r="C289" s="10"/>
      <c r="D289" s="10"/>
      <c r="E289" s="10"/>
      <c r="F289" s="10"/>
      <c r="G289" s="29"/>
      <c r="H289" s="10"/>
      <c r="I289" s="10"/>
      <c r="J289" s="10"/>
    </row>
    <row r="290" spans="1:10" x14ac:dyDescent="0.3">
      <c r="A290" s="50"/>
      <c r="B290" s="10"/>
      <c r="C290" s="10"/>
      <c r="D290" s="10"/>
      <c r="E290" s="10"/>
      <c r="F290" s="10"/>
      <c r="G290" s="29"/>
      <c r="H290" s="10"/>
      <c r="I290" s="10"/>
      <c r="J290" s="10"/>
    </row>
    <row r="291" spans="1:10" x14ac:dyDescent="0.3">
      <c r="A291" s="50"/>
      <c r="B291" s="10"/>
      <c r="C291" s="10"/>
      <c r="D291" s="10"/>
      <c r="E291" s="10"/>
      <c r="F291" s="10"/>
      <c r="G291" s="29"/>
      <c r="H291" s="10"/>
      <c r="I291" s="10"/>
      <c r="J291" s="10"/>
    </row>
    <row r="292" spans="1:10" x14ac:dyDescent="0.3">
      <c r="A292" s="50"/>
      <c r="B292" s="10"/>
      <c r="C292" s="10"/>
      <c r="D292" s="10"/>
      <c r="E292" s="10"/>
      <c r="F292" s="10"/>
      <c r="G292" s="29"/>
      <c r="H292" s="10"/>
      <c r="I292" s="10"/>
      <c r="J292" s="10"/>
    </row>
    <row r="293" spans="1:10" x14ac:dyDescent="0.3">
      <c r="A293" s="50"/>
      <c r="B293" s="10"/>
      <c r="C293" s="10"/>
      <c r="D293" s="10"/>
      <c r="E293" s="10"/>
      <c r="F293" s="10"/>
      <c r="G293" s="29"/>
      <c r="H293" s="10"/>
      <c r="I293" s="10"/>
      <c r="J293" s="10"/>
    </row>
    <row r="294" spans="1:10" x14ac:dyDescent="0.3">
      <c r="A294" s="50"/>
      <c r="B294" s="10"/>
      <c r="C294" s="10"/>
      <c r="D294" s="10"/>
      <c r="E294" s="10"/>
      <c r="F294" s="10"/>
      <c r="G294" s="29"/>
      <c r="H294" s="10"/>
      <c r="I294" s="10"/>
      <c r="J294" s="10"/>
    </row>
    <row r="295" spans="1:10" x14ac:dyDescent="0.3">
      <c r="A295" s="50"/>
      <c r="B295" s="10"/>
      <c r="C295" s="10"/>
      <c r="D295" s="10"/>
      <c r="E295" s="10"/>
      <c r="F295" s="10"/>
      <c r="G295" s="29"/>
      <c r="H295" s="10"/>
      <c r="I295" s="10"/>
      <c r="J295" s="10"/>
    </row>
    <row r="296" spans="1:10" x14ac:dyDescent="0.3">
      <c r="A296" s="50"/>
      <c r="B296" s="10"/>
      <c r="C296" s="10"/>
      <c r="D296" s="10"/>
      <c r="E296" s="10"/>
      <c r="F296" s="10"/>
      <c r="G296" s="29"/>
      <c r="H296" s="10"/>
      <c r="I296" s="10"/>
      <c r="J296" s="10"/>
    </row>
    <row r="297" spans="1:10" x14ac:dyDescent="0.3">
      <c r="A297" s="50"/>
      <c r="B297" s="10"/>
      <c r="C297" s="10"/>
      <c r="D297" s="10"/>
      <c r="E297" s="10"/>
      <c r="F297" s="10"/>
      <c r="G297" s="29"/>
      <c r="H297" s="10"/>
      <c r="I297" s="10"/>
      <c r="J297" s="10"/>
    </row>
    <row r="298" spans="1:10" x14ac:dyDescent="0.3">
      <c r="A298" s="50"/>
      <c r="B298" s="10"/>
      <c r="C298" s="10"/>
      <c r="D298" s="10"/>
      <c r="E298" s="10"/>
      <c r="F298" s="10"/>
      <c r="G298" s="29"/>
      <c r="H298" s="10"/>
      <c r="I298" s="10"/>
      <c r="J298" s="10"/>
    </row>
    <row r="299" spans="1:10" x14ac:dyDescent="0.3">
      <c r="A299" s="50"/>
      <c r="B299" s="10"/>
      <c r="C299" s="10"/>
      <c r="D299" s="10"/>
      <c r="E299" s="10"/>
      <c r="F299" s="10"/>
      <c r="G299" s="29"/>
      <c r="H299" s="10"/>
      <c r="I299" s="10"/>
      <c r="J299" s="10"/>
    </row>
    <row r="300" spans="1:10" x14ac:dyDescent="0.3">
      <c r="A300" s="50"/>
      <c r="B300" s="10"/>
      <c r="C300" s="10"/>
      <c r="D300" s="10"/>
      <c r="E300" s="10"/>
      <c r="F300" s="10"/>
      <c r="G300" s="29"/>
      <c r="H300" s="10"/>
      <c r="I300" s="10"/>
      <c r="J300" s="10"/>
    </row>
    <row r="301" spans="1:10" x14ac:dyDescent="0.3">
      <c r="A301" s="50"/>
      <c r="B301" s="10"/>
      <c r="C301" s="10"/>
      <c r="D301" s="10"/>
      <c r="E301" s="10"/>
      <c r="F301" s="10"/>
      <c r="G301" s="29"/>
      <c r="H301" s="10"/>
      <c r="I301" s="10"/>
      <c r="J301" s="10"/>
    </row>
    <row r="302" spans="1:10" x14ac:dyDescent="0.3">
      <c r="A302" s="50"/>
      <c r="B302" s="10"/>
      <c r="C302" s="10"/>
      <c r="D302" s="10"/>
      <c r="E302" s="10"/>
      <c r="F302" s="10"/>
      <c r="G302" s="29"/>
      <c r="H302" s="10"/>
      <c r="I302" s="10"/>
      <c r="J302" s="10"/>
    </row>
    <row r="303" spans="1:10" x14ac:dyDescent="0.3">
      <c r="A303" s="50"/>
      <c r="B303" s="10"/>
      <c r="C303" s="10"/>
      <c r="D303" s="10"/>
      <c r="E303" s="10"/>
      <c r="F303" s="10"/>
      <c r="G303" s="29"/>
      <c r="H303" s="10"/>
      <c r="I303" s="10"/>
      <c r="J303" s="10"/>
    </row>
    <row r="304" spans="1:10" x14ac:dyDescent="0.3">
      <c r="A304" s="50"/>
      <c r="B304" s="10"/>
      <c r="C304" s="10"/>
      <c r="D304" s="10"/>
      <c r="E304" s="10"/>
      <c r="F304" s="10"/>
      <c r="G304" s="29"/>
      <c r="H304" s="10"/>
      <c r="I304" s="10"/>
      <c r="J304" s="10"/>
    </row>
    <row r="305" spans="1:10" x14ac:dyDescent="0.3">
      <c r="A305" s="50"/>
      <c r="B305" s="10"/>
      <c r="C305" s="10"/>
      <c r="D305" s="10"/>
      <c r="E305" s="10"/>
      <c r="F305" s="10"/>
      <c r="G305" s="29"/>
      <c r="H305" s="10"/>
      <c r="I305" s="10"/>
      <c r="J305" s="10"/>
    </row>
    <row r="306" spans="1:10" x14ac:dyDescent="0.3">
      <c r="A306" s="50"/>
      <c r="B306" s="10"/>
      <c r="C306" s="10"/>
      <c r="D306" s="10"/>
      <c r="E306" s="10"/>
      <c r="F306" s="10"/>
      <c r="G306" s="29"/>
      <c r="H306" s="10"/>
      <c r="I306" s="10"/>
      <c r="J306" s="10"/>
    </row>
    <row r="307" spans="1:10" x14ac:dyDescent="0.3">
      <c r="A307" s="50"/>
      <c r="B307" s="10"/>
      <c r="C307" s="10"/>
      <c r="D307" s="10"/>
      <c r="E307" s="10"/>
      <c r="F307" s="10"/>
      <c r="G307" s="29"/>
      <c r="H307" s="10"/>
      <c r="I307" s="10"/>
      <c r="J307" s="10"/>
    </row>
    <row r="308" spans="1:10" x14ac:dyDescent="0.3">
      <c r="A308" s="50"/>
      <c r="B308" s="10"/>
      <c r="C308" s="10"/>
      <c r="D308" s="10"/>
      <c r="E308" s="10"/>
      <c r="F308" s="10"/>
      <c r="G308" s="29"/>
      <c r="H308" s="10"/>
      <c r="I308" s="10"/>
      <c r="J308" s="10"/>
    </row>
    <row r="309" spans="1:10" x14ac:dyDescent="0.3">
      <c r="A309" s="50"/>
      <c r="B309" s="10"/>
      <c r="C309" s="10"/>
      <c r="D309" s="10"/>
      <c r="E309" s="10"/>
      <c r="F309" s="10"/>
      <c r="G309" s="29"/>
      <c r="H309" s="10"/>
      <c r="I309" s="10"/>
      <c r="J309" s="10"/>
    </row>
    <row r="310" spans="1:10" x14ac:dyDescent="0.3">
      <c r="A310" s="50"/>
      <c r="B310" s="10"/>
      <c r="C310" s="10"/>
      <c r="D310" s="10"/>
      <c r="E310" s="10"/>
      <c r="F310" s="10"/>
      <c r="G310" s="29"/>
      <c r="H310" s="10"/>
      <c r="I310" s="10"/>
      <c r="J310" s="10"/>
    </row>
    <row r="311" spans="1:10" x14ac:dyDescent="0.3">
      <c r="A311" s="50"/>
      <c r="B311" s="10"/>
      <c r="C311" s="10"/>
      <c r="D311" s="10"/>
      <c r="E311" s="10"/>
      <c r="F311" s="10"/>
      <c r="G311" s="29"/>
      <c r="H311" s="10"/>
      <c r="I311" s="10"/>
      <c r="J311" s="10"/>
    </row>
    <row r="312" spans="1:10" x14ac:dyDescent="0.3">
      <c r="A312" s="50"/>
      <c r="B312" s="10"/>
      <c r="C312" s="10"/>
      <c r="D312" s="10"/>
      <c r="E312" s="10"/>
      <c r="F312" s="10"/>
      <c r="G312" s="29"/>
      <c r="H312" s="10"/>
      <c r="I312" s="10"/>
      <c r="J312" s="10"/>
    </row>
    <row r="313" spans="1:10" x14ac:dyDescent="0.3">
      <c r="A313" s="50"/>
      <c r="B313" s="10"/>
      <c r="C313" s="10"/>
      <c r="D313" s="10"/>
      <c r="E313" s="10"/>
      <c r="F313" s="10"/>
      <c r="G313" s="29"/>
      <c r="H313" s="10"/>
      <c r="I313" s="10"/>
      <c r="J313" s="10"/>
    </row>
    <row r="314" spans="1:10" x14ac:dyDescent="0.3">
      <c r="A314" s="50"/>
      <c r="B314" s="10"/>
      <c r="C314" s="10"/>
      <c r="D314" s="10"/>
      <c r="E314" s="10"/>
      <c r="F314" s="10"/>
      <c r="G314" s="29"/>
      <c r="H314" s="10"/>
      <c r="I314" s="10"/>
      <c r="J314" s="10"/>
    </row>
    <row r="315" spans="1:10" x14ac:dyDescent="0.3">
      <c r="A315" s="50"/>
      <c r="B315" s="10"/>
      <c r="C315" s="10"/>
      <c r="D315" s="10"/>
      <c r="E315" s="10"/>
      <c r="F315" s="10"/>
      <c r="G315" s="29"/>
      <c r="H315" s="10"/>
      <c r="I315" s="10"/>
      <c r="J315" s="10"/>
    </row>
    <row r="316" spans="1:10" x14ac:dyDescent="0.3">
      <c r="A316" s="50"/>
      <c r="B316" s="10"/>
      <c r="C316" s="10"/>
      <c r="D316" s="10"/>
      <c r="E316" s="10"/>
      <c r="F316" s="10"/>
      <c r="G316" s="29"/>
      <c r="H316" s="10"/>
      <c r="I316" s="10"/>
      <c r="J316" s="10"/>
    </row>
    <row r="317" spans="1:10" x14ac:dyDescent="0.3">
      <c r="A317" s="50"/>
      <c r="B317" s="10"/>
      <c r="C317" s="10"/>
      <c r="D317" s="10"/>
      <c r="E317" s="10"/>
      <c r="F317" s="10"/>
      <c r="G317" s="29"/>
      <c r="H317" s="10"/>
      <c r="I317" s="10"/>
      <c r="J317" s="10"/>
    </row>
    <row r="318" spans="1:10" x14ac:dyDescent="0.3">
      <c r="A318" s="50"/>
      <c r="B318" s="10"/>
      <c r="C318" s="10"/>
      <c r="D318" s="10"/>
      <c r="E318" s="10"/>
      <c r="F318" s="10"/>
      <c r="G318" s="29"/>
      <c r="H318" s="10"/>
      <c r="I318" s="10"/>
      <c r="J318" s="10"/>
    </row>
    <row r="319" spans="1:10" x14ac:dyDescent="0.3">
      <c r="A319" s="50"/>
      <c r="B319" s="10"/>
      <c r="C319" s="10"/>
      <c r="D319" s="10"/>
      <c r="E319" s="10"/>
      <c r="F319" s="10"/>
      <c r="G319" s="29"/>
      <c r="H319" s="10"/>
      <c r="I319" s="10"/>
      <c r="J319" s="10"/>
    </row>
    <row r="320" spans="1:10" x14ac:dyDescent="0.3">
      <c r="A320" s="50"/>
      <c r="B320" s="10"/>
      <c r="C320" s="10"/>
      <c r="D320" s="10"/>
      <c r="E320" s="10"/>
      <c r="F320" s="10"/>
      <c r="G320" s="29"/>
      <c r="H320" s="10"/>
      <c r="I320" s="10"/>
      <c r="J320" s="10"/>
    </row>
    <row r="321" spans="1:10" x14ac:dyDescent="0.3">
      <c r="A321" s="50"/>
      <c r="B321" s="10"/>
      <c r="C321" s="10"/>
      <c r="D321" s="10"/>
      <c r="E321" s="10"/>
      <c r="F321" s="10"/>
      <c r="G321" s="29"/>
      <c r="H321" s="10"/>
      <c r="I321" s="10"/>
      <c r="J321" s="10"/>
    </row>
    <row r="322" spans="1:10" x14ac:dyDescent="0.3">
      <c r="A322" s="50"/>
      <c r="B322" s="10"/>
      <c r="C322" s="10"/>
      <c r="D322" s="10"/>
      <c r="E322" s="10"/>
      <c r="F322" s="10"/>
      <c r="G322" s="29"/>
      <c r="H322" s="10"/>
      <c r="I322" s="10"/>
      <c r="J322" s="10"/>
    </row>
    <row r="323" spans="1:10" x14ac:dyDescent="0.3">
      <c r="A323" s="50"/>
      <c r="B323" s="10"/>
      <c r="C323" s="10"/>
      <c r="D323" s="10"/>
      <c r="E323" s="10"/>
      <c r="F323" s="10"/>
      <c r="G323" s="29"/>
      <c r="H323" s="10"/>
      <c r="I323" s="10"/>
      <c r="J323" s="10"/>
    </row>
    <row r="324" spans="1:10" x14ac:dyDescent="0.3">
      <c r="A324" s="50"/>
      <c r="B324" s="10"/>
      <c r="C324" s="10"/>
      <c r="D324" s="10"/>
      <c r="E324" s="10"/>
      <c r="F324" s="10"/>
      <c r="G324" s="29"/>
      <c r="H324" s="10"/>
      <c r="I324" s="10"/>
      <c r="J324" s="10"/>
    </row>
    <row r="325" spans="1:10" x14ac:dyDescent="0.3">
      <c r="A325" s="50"/>
      <c r="B325" s="10"/>
      <c r="C325" s="10"/>
      <c r="D325" s="10"/>
      <c r="E325" s="10"/>
      <c r="F325" s="10"/>
      <c r="G325" s="29"/>
      <c r="H325" s="10"/>
      <c r="I325" s="10"/>
      <c r="J325" s="10"/>
    </row>
    <row r="326" spans="1:10" x14ac:dyDescent="0.3">
      <c r="A326" s="50"/>
      <c r="B326" s="10"/>
      <c r="C326" s="10"/>
      <c r="D326" s="10"/>
      <c r="E326" s="10"/>
      <c r="F326" s="10"/>
      <c r="G326" s="29"/>
      <c r="H326" s="10"/>
      <c r="I326" s="10"/>
      <c r="J326" s="10"/>
    </row>
    <row r="327" spans="1:10" x14ac:dyDescent="0.3">
      <c r="A327" s="50"/>
      <c r="B327" s="10"/>
      <c r="C327" s="10"/>
      <c r="D327" s="10"/>
      <c r="E327" s="10"/>
      <c r="F327" s="10"/>
      <c r="G327" s="29"/>
      <c r="H327" s="10"/>
      <c r="I327" s="10"/>
      <c r="J327" s="10"/>
    </row>
    <row r="328" spans="1:10" x14ac:dyDescent="0.3">
      <c r="A328" s="50"/>
      <c r="B328" s="10"/>
      <c r="C328" s="10"/>
      <c r="D328" s="10"/>
      <c r="E328" s="10"/>
      <c r="F328" s="10"/>
      <c r="G328" s="29"/>
      <c r="H328" s="10"/>
      <c r="I328" s="10"/>
      <c r="J328" s="10"/>
    </row>
    <row r="329" spans="1:10" x14ac:dyDescent="0.3">
      <c r="A329" s="50"/>
      <c r="B329" s="10"/>
      <c r="C329" s="10"/>
      <c r="D329" s="10"/>
      <c r="E329" s="10"/>
      <c r="F329" s="10"/>
      <c r="G329" s="29"/>
      <c r="H329" s="10"/>
      <c r="I329" s="10"/>
      <c r="J329" s="10"/>
    </row>
    <row r="330" spans="1:10" x14ac:dyDescent="0.3">
      <c r="A330" s="50"/>
      <c r="B330" s="10"/>
      <c r="C330" s="10"/>
      <c r="D330" s="10"/>
      <c r="E330" s="10"/>
      <c r="F330" s="10"/>
      <c r="G330" s="29"/>
      <c r="H330" s="10"/>
      <c r="I330" s="10"/>
      <c r="J330" s="10"/>
    </row>
    <row r="331" spans="1:10" x14ac:dyDescent="0.3">
      <c r="A331" s="50"/>
      <c r="B331" s="10"/>
      <c r="C331" s="10"/>
      <c r="D331" s="10"/>
      <c r="E331" s="10"/>
      <c r="F331" s="10"/>
      <c r="G331" s="29"/>
      <c r="H331" s="10"/>
      <c r="I331" s="10"/>
      <c r="J331" s="10"/>
    </row>
    <row r="332" spans="1:10" x14ac:dyDescent="0.3">
      <c r="A332" s="50"/>
      <c r="B332" s="10"/>
      <c r="C332" s="10"/>
      <c r="D332" s="10"/>
      <c r="E332" s="10"/>
      <c r="F332" s="10"/>
      <c r="G332" s="29"/>
      <c r="H332" s="10"/>
      <c r="I332" s="10"/>
      <c r="J332" s="10"/>
    </row>
    <row r="333" spans="1:10" x14ac:dyDescent="0.3">
      <c r="A333" s="50"/>
      <c r="B333" s="10"/>
      <c r="C333" s="10"/>
      <c r="D333" s="10"/>
      <c r="E333" s="10"/>
      <c r="F333" s="10"/>
      <c r="G333" s="29"/>
      <c r="H333" s="10"/>
      <c r="I333" s="10"/>
      <c r="J333" s="10"/>
    </row>
    <row r="334" spans="1:10" x14ac:dyDescent="0.3">
      <c r="A334" s="50"/>
      <c r="B334" s="10"/>
      <c r="C334" s="10"/>
      <c r="D334" s="10"/>
      <c r="E334" s="10"/>
      <c r="F334" s="10"/>
      <c r="G334" s="29"/>
      <c r="H334" s="10"/>
      <c r="I334" s="10"/>
      <c r="J334" s="10"/>
    </row>
    <row r="335" spans="1:10" x14ac:dyDescent="0.3">
      <c r="A335" s="50"/>
      <c r="B335" s="10"/>
      <c r="C335" s="10"/>
      <c r="D335" s="10"/>
      <c r="E335" s="10"/>
      <c r="F335" s="10"/>
      <c r="G335" s="29"/>
      <c r="H335" s="10"/>
      <c r="I335" s="10"/>
      <c r="J335" s="10"/>
    </row>
    <row r="336" spans="1:10" x14ac:dyDescent="0.3">
      <c r="A336" s="50"/>
      <c r="B336" s="10"/>
      <c r="C336" s="10"/>
      <c r="D336" s="10"/>
      <c r="E336" s="10"/>
      <c r="F336" s="10"/>
      <c r="G336" s="29"/>
      <c r="H336" s="10"/>
      <c r="I336" s="10"/>
      <c r="J336" s="10"/>
    </row>
    <row r="337" spans="1:10" x14ac:dyDescent="0.3">
      <c r="A337" s="50"/>
      <c r="B337" s="10"/>
      <c r="C337" s="10"/>
      <c r="D337" s="10"/>
      <c r="E337" s="10"/>
      <c r="F337" s="10"/>
      <c r="G337" s="29"/>
      <c r="H337" s="10"/>
      <c r="I337" s="10"/>
      <c r="J337" s="10"/>
    </row>
    <row r="338" spans="1:10" x14ac:dyDescent="0.3">
      <c r="A338" s="50"/>
      <c r="B338" s="10"/>
      <c r="C338" s="10"/>
      <c r="D338" s="10"/>
      <c r="E338" s="10"/>
      <c r="F338" s="10"/>
      <c r="G338" s="29"/>
      <c r="H338" s="10"/>
      <c r="I338" s="10"/>
      <c r="J338" s="10"/>
    </row>
    <row r="339" spans="1:10" x14ac:dyDescent="0.3">
      <c r="A339" s="50"/>
      <c r="B339" s="10"/>
      <c r="C339" s="10"/>
      <c r="D339" s="10"/>
      <c r="E339" s="10"/>
      <c r="F339" s="10"/>
      <c r="G339" s="29"/>
      <c r="H339" s="10"/>
      <c r="I339" s="10"/>
      <c r="J339" s="10"/>
    </row>
    <row r="340" spans="1:10" x14ac:dyDescent="0.3">
      <c r="A340" s="50"/>
      <c r="B340" s="10"/>
      <c r="C340" s="10"/>
      <c r="D340" s="10"/>
      <c r="E340" s="10"/>
      <c r="F340" s="10"/>
      <c r="G340" s="29"/>
      <c r="H340" s="10"/>
      <c r="I340" s="10"/>
      <c r="J340" s="10"/>
    </row>
    <row r="341" spans="1:10" x14ac:dyDescent="0.3">
      <c r="A341" s="50"/>
      <c r="B341" s="10"/>
      <c r="C341" s="10"/>
      <c r="D341" s="10"/>
      <c r="E341" s="10"/>
      <c r="F341" s="10"/>
      <c r="G341" s="29"/>
      <c r="H341" s="10"/>
      <c r="I341" s="10"/>
      <c r="J341" s="10"/>
    </row>
    <row r="342" spans="1:10" x14ac:dyDescent="0.3">
      <c r="A342" s="50"/>
      <c r="B342" s="10"/>
      <c r="C342" s="10"/>
      <c r="D342" s="10"/>
      <c r="E342" s="10"/>
      <c r="F342" s="10"/>
      <c r="G342" s="29"/>
      <c r="H342" s="10"/>
      <c r="I342" s="10"/>
      <c r="J342" s="10"/>
    </row>
    <row r="343" spans="1:10" x14ac:dyDescent="0.3">
      <c r="A343" s="50"/>
      <c r="B343" s="10"/>
      <c r="C343" s="10"/>
      <c r="D343" s="10"/>
      <c r="E343" s="10"/>
      <c r="F343" s="10"/>
      <c r="G343" s="29"/>
      <c r="H343" s="10"/>
      <c r="I343" s="10"/>
      <c r="J343" s="10"/>
    </row>
    <row r="344" spans="1:10" x14ac:dyDescent="0.3">
      <c r="A344" s="50"/>
      <c r="B344" s="10"/>
      <c r="C344" s="10"/>
      <c r="D344" s="10"/>
      <c r="E344" s="10"/>
      <c r="F344" s="10"/>
      <c r="G344" s="29"/>
      <c r="H344" s="10"/>
      <c r="I344" s="10"/>
      <c r="J344" s="10"/>
    </row>
    <row r="345" spans="1:10" x14ac:dyDescent="0.3">
      <c r="A345" s="50"/>
      <c r="B345" s="10"/>
      <c r="C345" s="10"/>
      <c r="D345" s="10"/>
      <c r="E345" s="10"/>
      <c r="F345" s="10"/>
      <c r="G345" s="29"/>
      <c r="H345" s="10"/>
      <c r="I345" s="10"/>
      <c r="J345" s="10"/>
    </row>
    <row r="346" spans="1:10" x14ac:dyDescent="0.3">
      <c r="A346" s="50"/>
      <c r="B346" s="10"/>
      <c r="C346" s="10"/>
      <c r="D346" s="10"/>
      <c r="E346" s="10"/>
      <c r="F346" s="10"/>
      <c r="G346" s="29"/>
      <c r="H346" s="10"/>
      <c r="I346" s="10"/>
      <c r="J346" s="10"/>
    </row>
    <row r="347" spans="1:10" x14ac:dyDescent="0.3">
      <c r="A347" s="50"/>
      <c r="B347" s="10"/>
      <c r="C347" s="10"/>
      <c r="D347" s="10"/>
      <c r="E347" s="10"/>
      <c r="F347" s="10"/>
      <c r="G347" s="29"/>
      <c r="H347" s="10"/>
      <c r="I347" s="10"/>
      <c r="J347" s="10"/>
    </row>
    <row r="348" spans="1:10" x14ac:dyDescent="0.3">
      <c r="A348" s="50"/>
      <c r="B348" s="10"/>
      <c r="C348" s="10"/>
      <c r="D348" s="10"/>
      <c r="E348" s="10"/>
      <c r="F348" s="10"/>
      <c r="G348" s="29"/>
      <c r="H348" s="10"/>
      <c r="I348" s="10"/>
      <c r="J348" s="10"/>
    </row>
    <row r="349" spans="1:10" x14ac:dyDescent="0.3">
      <c r="A349" s="50"/>
      <c r="B349" s="10"/>
      <c r="C349" s="10"/>
      <c r="D349" s="10"/>
      <c r="E349" s="10"/>
      <c r="F349" s="10"/>
      <c r="G349" s="29"/>
      <c r="H349" s="10"/>
      <c r="I349" s="10"/>
      <c r="J349" s="10"/>
    </row>
    <row r="350" spans="1:10" x14ac:dyDescent="0.3">
      <c r="A350" s="50"/>
      <c r="B350" s="10"/>
      <c r="C350" s="10"/>
      <c r="D350" s="10"/>
      <c r="E350" s="10"/>
      <c r="F350" s="10"/>
      <c r="G350" s="29"/>
      <c r="H350" s="10"/>
      <c r="I350" s="10"/>
      <c r="J350" s="10"/>
    </row>
    <row r="351" spans="1:10" x14ac:dyDescent="0.3">
      <c r="A351" s="50"/>
      <c r="B351" s="10"/>
      <c r="C351" s="10"/>
      <c r="D351" s="10"/>
      <c r="E351" s="10"/>
      <c r="F351" s="10"/>
      <c r="G351" s="29"/>
      <c r="H351" s="10"/>
      <c r="I351" s="10"/>
      <c r="J351" s="10"/>
    </row>
    <row r="352" spans="1:10" x14ac:dyDescent="0.3">
      <c r="A352" s="50"/>
      <c r="B352" s="10"/>
      <c r="C352" s="10"/>
      <c r="D352" s="10"/>
      <c r="E352" s="10"/>
      <c r="F352" s="10"/>
      <c r="G352" s="29"/>
      <c r="H352" s="10"/>
      <c r="I352" s="10"/>
      <c r="J352" s="10"/>
    </row>
    <row r="353" spans="1:10" x14ac:dyDescent="0.3">
      <c r="A353" s="50"/>
      <c r="B353" s="10"/>
      <c r="C353" s="10"/>
      <c r="D353" s="10"/>
      <c r="E353" s="10"/>
      <c r="F353" s="10"/>
      <c r="G353" s="29"/>
      <c r="H353" s="10"/>
      <c r="I353" s="10"/>
      <c r="J353" s="10"/>
    </row>
    <row r="354" spans="1:10" x14ac:dyDescent="0.3">
      <c r="A354" s="50"/>
      <c r="B354" s="10"/>
      <c r="C354" s="10"/>
      <c r="D354" s="10"/>
      <c r="E354" s="10"/>
      <c r="F354" s="10"/>
      <c r="G354" s="29"/>
      <c r="H354" s="10"/>
      <c r="I354" s="10"/>
      <c r="J354" s="10"/>
    </row>
    <row r="355" spans="1:10" x14ac:dyDescent="0.3">
      <c r="A355" s="50"/>
      <c r="B355" s="10"/>
      <c r="C355" s="10"/>
      <c r="D355" s="10"/>
      <c r="E355" s="10"/>
      <c r="F355" s="10"/>
      <c r="G355" s="29"/>
      <c r="H355" s="10"/>
      <c r="I355" s="10"/>
      <c r="J355" s="10"/>
    </row>
    <row r="356" spans="1:10" x14ac:dyDescent="0.3">
      <c r="A356" s="50"/>
      <c r="B356" s="10"/>
      <c r="C356" s="10"/>
      <c r="D356" s="10"/>
      <c r="E356" s="10"/>
      <c r="F356" s="10"/>
      <c r="G356" s="29"/>
      <c r="H356" s="10"/>
      <c r="I356" s="10"/>
      <c r="J356" s="10"/>
    </row>
    <row r="357" spans="1:10" x14ac:dyDescent="0.3">
      <c r="A357" s="50"/>
      <c r="B357" s="10"/>
      <c r="C357" s="10"/>
      <c r="D357" s="10"/>
      <c r="E357" s="10"/>
      <c r="F357" s="10"/>
      <c r="G357" s="29"/>
      <c r="H357" s="10"/>
      <c r="I357" s="10"/>
      <c r="J357" s="10"/>
    </row>
    <row r="358" spans="1:10" x14ac:dyDescent="0.3">
      <c r="A358" s="50"/>
      <c r="B358" s="10"/>
      <c r="C358" s="10"/>
      <c r="D358" s="10"/>
      <c r="E358" s="10"/>
      <c r="F358" s="10"/>
      <c r="G358" s="29"/>
      <c r="H358" s="10"/>
      <c r="I358" s="10"/>
      <c r="J358" s="10"/>
    </row>
    <row r="359" spans="1:10" x14ac:dyDescent="0.3">
      <c r="A359" s="50"/>
      <c r="B359" s="10"/>
      <c r="C359" s="10"/>
      <c r="D359" s="10"/>
      <c r="E359" s="10"/>
      <c r="F359" s="10"/>
      <c r="G359" s="29"/>
      <c r="H359" s="10"/>
      <c r="I359" s="10"/>
      <c r="J359" s="10"/>
    </row>
    <row r="360" spans="1:10" x14ac:dyDescent="0.3">
      <c r="A360" s="50"/>
      <c r="B360" s="10"/>
      <c r="C360" s="10"/>
      <c r="D360" s="10"/>
      <c r="E360" s="10"/>
      <c r="F360" s="10"/>
      <c r="G360" s="29"/>
      <c r="H360" s="10"/>
      <c r="I360" s="10"/>
      <c r="J360" s="10"/>
    </row>
    <row r="361" spans="1:10" x14ac:dyDescent="0.3">
      <c r="A361" s="50"/>
      <c r="B361" s="10"/>
      <c r="C361" s="10"/>
      <c r="D361" s="10"/>
      <c r="E361" s="10"/>
      <c r="F361" s="10"/>
      <c r="G361" s="29"/>
      <c r="H361" s="10"/>
      <c r="I361" s="10"/>
      <c r="J361" s="10"/>
    </row>
    <row r="362" spans="1:10" x14ac:dyDescent="0.3">
      <c r="A362" s="50"/>
      <c r="B362" s="10"/>
      <c r="C362" s="10"/>
      <c r="D362" s="10"/>
      <c r="E362" s="10"/>
      <c r="F362" s="10"/>
      <c r="G362" s="29"/>
      <c r="H362" s="10"/>
      <c r="I362" s="10"/>
      <c r="J362" s="10"/>
    </row>
    <row r="363" spans="1:10" x14ac:dyDescent="0.3">
      <c r="A363" s="50"/>
      <c r="B363" s="10"/>
      <c r="C363" s="10"/>
      <c r="D363" s="10"/>
      <c r="E363" s="10"/>
      <c r="F363" s="10"/>
      <c r="G363" s="29"/>
      <c r="H363" s="10"/>
      <c r="I363" s="10"/>
      <c r="J363" s="10"/>
    </row>
    <row r="364" spans="1:10" x14ac:dyDescent="0.3">
      <c r="A364" s="50"/>
      <c r="B364" s="10"/>
      <c r="C364" s="10"/>
      <c r="D364" s="10"/>
      <c r="E364" s="10"/>
      <c r="F364" s="10"/>
      <c r="G364" s="29"/>
      <c r="H364" s="10"/>
      <c r="I364" s="10"/>
      <c r="J364" s="10"/>
    </row>
    <row r="365" spans="1:10" x14ac:dyDescent="0.3">
      <c r="A365" s="50"/>
      <c r="B365" s="10"/>
      <c r="C365" s="10"/>
      <c r="D365" s="10"/>
      <c r="E365" s="10"/>
      <c r="F365" s="10"/>
      <c r="G365" s="29"/>
      <c r="H365" s="10"/>
      <c r="I365" s="10"/>
      <c r="J365" s="10"/>
    </row>
    <row r="366" spans="1:10" x14ac:dyDescent="0.3">
      <c r="A366" s="50"/>
      <c r="B366" s="10"/>
      <c r="C366" s="10"/>
      <c r="D366" s="10"/>
      <c r="E366" s="10"/>
      <c r="F366" s="10"/>
      <c r="G366" s="29"/>
      <c r="H366" s="10"/>
      <c r="I366" s="10"/>
      <c r="J366" s="10"/>
    </row>
    <row r="367" spans="1:10" x14ac:dyDescent="0.3">
      <c r="A367" s="50"/>
      <c r="B367" s="10"/>
      <c r="C367" s="10"/>
      <c r="D367" s="10"/>
      <c r="E367" s="10"/>
      <c r="F367" s="10"/>
      <c r="G367" s="29"/>
      <c r="H367" s="10"/>
      <c r="I367" s="10"/>
      <c r="J367" s="10"/>
    </row>
    <row r="368" spans="1:10" x14ac:dyDescent="0.3">
      <c r="A368" s="50"/>
      <c r="B368" s="10"/>
      <c r="C368" s="10"/>
      <c r="D368" s="10"/>
      <c r="E368" s="10"/>
      <c r="F368" s="10"/>
      <c r="G368" s="29"/>
      <c r="H368" s="10"/>
      <c r="I368" s="10"/>
      <c r="J368" s="10"/>
    </row>
    <row r="369" spans="1:10" x14ac:dyDescent="0.3">
      <c r="A369" s="50"/>
      <c r="B369" s="10"/>
      <c r="C369" s="10"/>
      <c r="D369" s="10"/>
      <c r="E369" s="10"/>
      <c r="F369" s="10"/>
      <c r="G369" s="29"/>
      <c r="H369" s="10"/>
      <c r="I369" s="10"/>
      <c r="J369" s="10"/>
    </row>
    <row r="370" spans="1:10" x14ac:dyDescent="0.3">
      <c r="A370" s="50"/>
      <c r="B370" s="10"/>
      <c r="C370" s="10"/>
      <c r="D370" s="10"/>
      <c r="E370" s="10"/>
      <c r="F370" s="10"/>
      <c r="G370" s="29"/>
      <c r="H370" s="10"/>
      <c r="I370" s="10"/>
      <c r="J370" s="10"/>
    </row>
    <row r="371" spans="1:10" x14ac:dyDescent="0.3">
      <c r="A371" s="50"/>
      <c r="B371" s="10"/>
      <c r="C371" s="10"/>
      <c r="D371" s="10"/>
      <c r="E371" s="10"/>
      <c r="F371" s="10"/>
      <c r="G371" s="29"/>
      <c r="H371" s="10"/>
      <c r="I371" s="10"/>
      <c r="J371" s="10"/>
    </row>
    <row r="372" spans="1:10" x14ac:dyDescent="0.3">
      <c r="A372" s="50"/>
      <c r="B372" s="10"/>
      <c r="C372" s="10"/>
      <c r="D372" s="10"/>
      <c r="E372" s="10"/>
      <c r="F372" s="10"/>
      <c r="G372" s="29"/>
      <c r="H372" s="10"/>
      <c r="I372" s="10"/>
      <c r="J372" s="10"/>
    </row>
    <row r="373" spans="1:10" x14ac:dyDescent="0.3">
      <c r="A373" s="50"/>
      <c r="B373" s="10"/>
      <c r="C373" s="10"/>
      <c r="D373" s="10"/>
      <c r="E373" s="10"/>
      <c r="F373" s="10"/>
      <c r="G373" s="29"/>
      <c r="H373" s="10"/>
      <c r="I373" s="10"/>
      <c r="J373" s="10"/>
    </row>
    <row r="374" spans="1:10" x14ac:dyDescent="0.3">
      <c r="A374" s="50"/>
      <c r="B374" s="10"/>
      <c r="C374" s="10"/>
      <c r="D374" s="10"/>
      <c r="E374" s="10"/>
      <c r="F374" s="10"/>
      <c r="G374" s="29"/>
      <c r="H374" s="10"/>
      <c r="I374" s="10"/>
      <c r="J374" s="10"/>
    </row>
    <row r="375" spans="1:10" x14ac:dyDescent="0.3">
      <c r="A375" s="50"/>
      <c r="B375" s="10"/>
      <c r="C375" s="10"/>
      <c r="D375" s="10"/>
      <c r="E375" s="10"/>
      <c r="F375" s="10"/>
      <c r="G375" s="29"/>
      <c r="H375" s="10"/>
      <c r="I375" s="10"/>
      <c r="J375" s="10"/>
    </row>
    <row r="376" spans="1:10" x14ac:dyDescent="0.3">
      <c r="A376" s="50"/>
      <c r="B376" s="10"/>
      <c r="C376" s="10"/>
      <c r="D376" s="10"/>
      <c r="E376" s="10"/>
      <c r="F376" s="10"/>
      <c r="G376" s="29"/>
      <c r="H376" s="10"/>
      <c r="I376" s="10"/>
      <c r="J376" s="10"/>
    </row>
    <row r="377" spans="1:10" x14ac:dyDescent="0.3">
      <c r="A377" s="50"/>
      <c r="B377" s="10"/>
      <c r="C377" s="10"/>
      <c r="D377" s="10"/>
      <c r="E377" s="10"/>
      <c r="F377" s="10"/>
      <c r="G377" s="29"/>
      <c r="H377" s="10"/>
      <c r="I377" s="10"/>
      <c r="J377" s="10"/>
    </row>
    <row r="378" spans="1:10" x14ac:dyDescent="0.3">
      <c r="A378" s="50"/>
      <c r="B378" s="10"/>
      <c r="C378" s="10"/>
      <c r="D378" s="10"/>
      <c r="E378" s="10"/>
      <c r="F378" s="10"/>
      <c r="G378" s="29"/>
      <c r="H378" s="10"/>
      <c r="I378" s="10"/>
      <c r="J378" s="10"/>
    </row>
    <row r="379" spans="1:10" x14ac:dyDescent="0.3">
      <c r="A379" s="50"/>
      <c r="B379" s="10"/>
      <c r="C379" s="10"/>
      <c r="D379" s="10"/>
      <c r="E379" s="10"/>
      <c r="F379" s="10"/>
      <c r="G379" s="29"/>
      <c r="H379" s="10"/>
      <c r="I379" s="10"/>
      <c r="J379" s="10"/>
    </row>
    <row r="380" spans="1:10" x14ac:dyDescent="0.3">
      <c r="A380" s="50"/>
      <c r="B380" s="10"/>
      <c r="C380" s="10"/>
      <c r="D380" s="10"/>
      <c r="E380" s="10"/>
      <c r="F380" s="10"/>
      <c r="G380" s="29"/>
      <c r="H380" s="10"/>
      <c r="I380" s="10"/>
      <c r="J380" s="10"/>
    </row>
    <row r="381" spans="1:10" x14ac:dyDescent="0.3">
      <c r="A381" s="50"/>
      <c r="B381" s="10"/>
      <c r="C381" s="10"/>
      <c r="D381" s="10"/>
      <c r="E381" s="10"/>
      <c r="F381" s="10"/>
      <c r="G381" s="29"/>
      <c r="H381" s="10"/>
      <c r="I381" s="10"/>
      <c r="J381" s="10"/>
    </row>
    <row r="382" spans="1:10" x14ac:dyDescent="0.3">
      <c r="A382" s="50"/>
      <c r="B382" s="10"/>
      <c r="C382" s="10"/>
      <c r="D382" s="10"/>
      <c r="E382" s="10"/>
      <c r="F382" s="10"/>
      <c r="G382" s="29"/>
      <c r="H382" s="10"/>
      <c r="I382" s="10"/>
      <c r="J382" s="10"/>
    </row>
    <row r="383" spans="1:10" x14ac:dyDescent="0.3">
      <c r="A383" s="50"/>
      <c r="B383" s="10"/>
      <c r="C383" s="10"/>
      <c r="D383" s="10"/>
      <c r="E383" s="10"/>
      <c r="F383" s="10"/>
      <c r="G383" s="29"/>
      <c r="H383" s="10"/>
      <c r="I383" s="10"/>
      <c r="J383" s="10"/>
    </row>
    <row r="384" spans="1:10" x14ac:dyDescent="0.3">
      <c r="A384" s="50"/>
      <c r="B384" s="10"/>
      <c r="C384" s="10"/>
      <c r="D384" s="10"/>
      <c r="E384" s="10"/>
      <c r="F384" s="10"/>
      <c r="G384" s="29"/>
      <c r="H384" s="10"/>
      <c r="I384" s="10"/>
      <c r="J384" s="10"/>
    </row>
    <row r="385" spans="1:10" x14ac:dyDescent="0.3">
      <c r="A385" s="50"/>
      <c r="B385" s="10"/>
      <c r="C385" s="10"/>
      <c r="D385" s="10"/>
      <c r="E385" s="10"/>
      <c r="F385" s="10"/>
      <c r="G385" s="29"/>
      <c r="H385" s="10"/>
      <c r="I385" s="10"/>
      <c r="J385" s="10"/>
    </row>
    <row r="386" spans="1:10" x14ac:dyDescent="0.3">
      <c r="A386" s="50"/>
      <c r="B386" s="10"/>
      <c r="C386" s="10"/>
      <c r="D386" s="10"/>
      <c r="E386" s="10"/>
      <c r="F386" s="10"/>
      <c r="G386" s="29"/>
      <c r="H386" s="10"/>
      <c r="I386" s="10"/>
      <c r="J386" s="10"/>
    </row>
    <row r="387" spans="1:10" x14ac:dyDescent="0.3">
      <c r="A387" s="50"/>
      <c r="B387" s="10"/>
      <c r="C387" s="10"/>
      <c r="D387" s="10"/>
      <c r="E387" s="10"/>
      <c r="F387" s="10"/>
      <c r="G387" s="29"/>
      <c r="H387" s="10"/>
      <c r="I387" s="10"/>
      <c r="J387" s="10"/>
    </row>
    <row r="388" spans="1:10" x14ac:dyDescent="0.3">
      <c r="A388" s="50"/>
      <c r="B388" s="10"/>
      <c r="C388" s="10"/>
      <c r="D388" s="10"/>
      <c r="E388" s="10"/>
      <c r="F388" s="10"/>
      <c r="G388" s="29"/>
      <c r="H388" s="10"/>
      <c r="I388" s="10"/>
      <c r="J388" s="10"/>
    </row>
    <row r="389" spans="1:10" x14ac:dyDescent="0.3">
      <c r="A389" s="50"/>
      <c r="B389" s="10"/>
      <c r="C389" s="10"/>
      <c r="D389" s="10"/>
      <c r="E389" s="10"/>
      <c r="F389" s="10"/>
      <c r="G389" s="29"/>
      <c r="H389" s="10"/>
      <c r="I389" s="10"/>
      <c r="J389" s="10"/>
    </row>
    <row r="390" spans="1:10" x14ac:dyDescent="0.3">
      <c r="A390" s="50"/>
      <c r="B390" s="10"/>
      <c r="C390" s="10"/>
      <c r="D390" s="10"/>
      <c r="E390" s="10"/>
      <c r="F390" s="10"/>
      <c r="G390" s="29"/>
      <c r="H390" s="10"/>
      <c r="I390" s="10"/>
      <c r="J390" s="10"/>
    </row>
    <row r="391" spans="1:10" x14ac:dyDescent="0.3">
      <c r="A391" s="50"/>
      <c r="B391" s="10"/>
      <c r="C391" s="10"/>
      <c r="D391" s="10"/>
      <c r="E391" s="10"/>
      <c r="F391" s="10"/>
      <c r="G391" s="29"/>
      <c r="H391" s="10"/>
      <c r="I391" s="10"/>
      <c r="J391" s="10"/>
    </row>
    <row r="392" spans="1:10" x14ac:dyDescent="0.3">
      <c r="A392" s="50"/>
      <c r="B392" s="10"/>
      <c r="C392" s="10"/>
      <c r="D392" s="10"/>
      <c r="E392" s="10"/>
      <c r="F392" s="10"/>
      <c r="G392" s="29"/>
      <c r="H392" s="10"/>
      <c r="I392" s="10"/>
      <c r="J392" s="10"/>
    </row>
    <row r="393" spans="1:10" x14ac:dyDescent="0.3">
      <c r="A393" s="50"/>
      <c r="B393" s="10"/>
      <c r="C393" s="10"/>
      <c r="D393" s="10"/>
      <c r="E393" s="10"/>
      <c r="F393" s="10"/>
      <c r="G393" s="29"/>
      <c r="H393" s="10"/>
      <c r="I393" s="10"/>
      <c r="J393" s="10"/>
    </row>
    <row r="394" spans="1:10" x14ac:dyDescent="0.3">
      <c r="A394" s="50"/>
      <c r="B394" s="10"/>
      <c r="C394" s="10"/>
      <c r="D394" s="10"/>
      <c r="E394" s="10"/>
      <c r="F394" s="10"/>
      <c r="G394" s="29"/>
      <c r="H394" s="10"/>
      <c r="I394" s="10"/>
      <c r="J394" s="10"/>
    </row>
    <row r="395" spans="1:10" x14ac:dyDescent="0.3">
      <c r="A395" s="50"/>
      <c r="B395" s="10"/>
      <c r="C395" s="10"/>
      <c r="D395" s="10"/>
      <c r="E395" s="10"/>
      <c r="F395" s="10"/>
      <c r="G395" s="29"/>
      <c r="H395" s="10"/>
      <c r="I395" s="10"/>
      <c r="J395" s="10"/>
    </row>
    <row r="396" spans="1:10" x14ac:dyDescent="0.3">
      <c r="A396" s="50"/>
      <c r="B396" s="10"/>
      <c r="C396" s="10"/>
      <c r="D396" s="10"/>
      <c r="E396" s="10"/>
      <c r="F396" s="10"/>
      <c r="G396" s="29"/>
      <c r="H396" s="10"/>
      <c r="I396" s="10"/>
      <c r="J396" s="10"/>
    </row>
    <row r="397" spans="1:10" x14ac:dyDescent="0.3">
      <c r="A397" s="50"/>
      <c r="B397" s="10"/>
      <c r="C397" s="10"/>
      <c r="D397" s="10"/>
      <c r="E397" s="10"/>
      <c r="F397" s="10"/>
      <c r="G397" s="29"/>
      <c r="H397" s="10"/>
      <c r="I397" s="10"/>
      <c r="J397" s="10"/>
    </row>
    <row r="398" spans="1:10" x14ac:dyDescent="0.3">
      <c r="A398" s="50"/>
      <c r="B398" s="10"/>
      <c r="C398" s="10"/>
      <c r="D398" s="10"/>
      <c r="E398" s="10"/>
      <c r="F398" s="10"/>
      <c r="G398" s="29"/>
      <c r="H398" s="10"/>
      <c r="I398" s="10"/>
      <c r="J398" s="10"/>
    </row>
    <row r="399" spans="1:10" x14ac:dyDescent="0.3">
      <c r="A399" s="50"/>
      <c r="B399" s="10"/>
      <c r="C399" s="10"/>
      <c r="D399" s="10"/>
      <c r="E399" s="10"/>
      <c r="F399" s="10"/>
      <c r="G399" s="29"/>
      <c r="H399" s="10"/>
      <c r="I399" s="10"/>
      <c r="J399" s="10"/>
    </row>
    <row r="400" spans="1:10" x14ac:dyDescent="0.3">
      <c r="A400" s="50"/>
      <c r="B400" s="10"/>
      <c r="C400" s="10"/>
      <c r="D400" s="10"/>
      <c r="E400" s="10"/>
      <c r="F400" s="10"/>
      <c r="G400" s="29"/>
      <c r="H400" s="10"/>
      <c r="I400" s="10"/>
      <c r="J400" s="10"/>
    </row>
    <row r="401" spans="1:10" x14ac:dyDescent="0.3">
      <c r="A401" s="50"/>
      <c r="B401" s="10"/>
      <c r="C401" s="10"/>
      <c r="D401" s="10"/>
      <c r="E401" s="10"/>
      <c r="F401" s="10"/>
      <c r="G401" s="29"/>
      <c r="H401" s="10"/>
      <c r="I401" s="10"/>
      <c r="J401" s="10"/>
    </row>
    <row r="402" spans="1:10" x14ac:dyDescent="0.3">
      <c r="A402" s="50"/>
      <c r="B402" s="10"/>
      <c r="C402" s="10"/>
      <c r="D402" s="10"/>
      <c r="E402" s="10"/>
      <c r="F402" s="10"/>
      <c r="G402" s="29"/>
      <c r="H402" s="10"/>
      <c r="I402" s="10"/>
      <c r="J402" s="10"/>
    </row>
    <row r="403" spans="1:10" x14ac:dyDescent="0.3">
      <c r="A403" s="50"/>
      <c r="B403" s="10"/>
      <c r="C403" s="10"/>
      <c r="D403" s="10"/>
      <c r="E403" s="10"/>
      <c r="F403" s="10"/>
      <c r="G403" s="29"/>
      <c r="H403" s="10"/>
      <c r="I403" s="10"/>
      <c r="J403" s="10"/>
    </row>
    <row r="404" spans="1:10" x14ac:dyDescent="0.3">
      <c r="A404" s="50"/>
      <c r="B404" s="10"/>
      <c r="C404" s="10"/>
      <c r="D404" s="10"/>
      <c r="E404" s="10"/>
      <c r="F404" s="10"/>
      <c r="G404" s="29"/>
      <c r="H404" s="10"/>
      <c r="I404" s="10"/>
      <c r="J404" s="10"/>
    </row>
    <row r="405" spans="1:10" x14ac:dyDescent="0.3">
      <c r="A405" s="50"/>
      <c r="B405" s="10"/>
      <c r="C405" s="10"/>
      <c r="D405" s="10"/>
      <c r="E405" s="10"/>
      <c r="F405" s="10"/>
      <c r="G405" s="29"/>
      <c r="H405" s="10"/>
      <c r="I405" s="10"/>
      <c r="J405" s="10"/>
    </row>
    <row r="406" spans="1:10" x14ac:dyDescent="0.3">
      <c r="A406" s="50"/>
      <c r="B406" s="10"/>
      <c r="C406" s="10"/>
      <c r="D406" s="10"/>
      <c r="E406" s="10"/>
      <c r="F406" s="10"/>
      <c r="G406" s="29"/>
      <c r="H406" s="10"/>
      <c r="I406" s="10"/>
      <c r="J406" s="10"/>
    </row>
    <row r="407" spans="1:10" x14ac:dyDescent="0.3">
      <c r="A407" s="50"/>
      <c r="B407" s="10"/>
      <c r="C407" s="10"/>
      <c r="D407" s="10"/>
      <c r="E407" s="10"/>
      <c r="F407" s="10"/>
      <c r="G407" s="29"/>
      <c r="H407" s="10"/>
      <c r="I407" s="10"/>
      <c r="J407" s="10"/>
    </row>
    <row r="408" spans="1:10" x14ac:dyDescent="0.3">
      <c r="A408" s="50"/>
      <c r="B408" s="10"/>
      <c r="C408" s="10"/>
      <c r="D408" s="10"/>
      <c r="E408" s="10"/>
      <c r="F408" s="10"/>
      <c r="G408" s="29"/>
      <c r="H408" s="10"/>
      <c r="I408" s="10"/>
      <c r="J408" s="10"/>
    </row>
    <row r="409" spans="1:10" x14ac:dyDescent="0.3">
      <c r="A409" s="50"/>
      <c r="B409" s="10"/>
      <c r="C409" s="10"/>
      <c r="D409" s="10"/>
      <c r="E409" s="10"/>
      <c r="F409" s="10"/>
      <c r="G409" s="29"/>
      <c r="H409" s="10"/>
      <c r="I409" s="10"/>
      <c r="J409" s="10"/>
    </row>
    <row r="410" spans="1:10" x14ac:dyDescent="0.3">
      <c r="A410" s="50"/>
      <c r="B410" s="10"/>
      <c r="C410" s="10"/>
      <c r="D410" s="10"/>
      <c r="E410" s="10"/>
      <c r="F410" s="10"/>
      <c r="G410" s="29"/>
      <c r="H410" s="10"/>
      <c r="I410" s="10"/>
      <c r="J410" s="10"/>
    </row>
    <row r="411" spans="1:10" x14ac:dyDescent="0.3">
      <c r="A411" s="50"/>
      <c r="B411" s="10"/>
      <c r="C411" s="10"/>
      <c r="D411" s="10"/>
      <c r="E411" s="10"/>
      <c r="F411" s="10"/>
      <c r="G411" s="29"/>
      <c r="H411" s="10"/>
      <c r="I411" s="10"/>
      <c r="J411" s="10"/>
    </row>
    <row r="412" spans="1:10" x14ac:dyDescent="0.3">
      <c r="A412" s="50"/>
      <c r="B412" s="10"/>
      <c r="C412" s="10"/>
      <c r="D412" s="10"/>
      <c r="E412" s="10"/>
      <c r="F412" s="10"/>
      <c r="G412" s="29"/>
      <c r="H412" s="10"/>
      <c r="I412" s="10"/>
      <c r="J412" s="10"/>
    </row>
    <row r="413" spans="1:10" x14ac:dyDescent="0.3">
      <c r="A413" s="50"/>
      <c r="B413" s="10"/>
      <c r="C413" s="10"/>
      <c r="D413" s="10"/>
      <c r="E413" s="10"/>
      <c r="F413" s="10"/>
      <c r="G413" s="29"/>
      <c r="H413" s="10"/>
      <c r="I413" s="10"/>
      <c r="J413" s="10"/>
    </row>
    <row r="414" spans="1:10" x14ac:dyDescent="0.3">
      <c r="A414" s="50"/>
      <c r="B414" s="10"/>
      <c r="C414" s="10"/>
      <c r="D414" s="10"/>
      <c r="E414" s="10"/>
      <c r="F414" s="10"/>
      <c r="G414" s="29"/>
      <c r="H414" s="10"/>
      <c r="I414" s="10"/>
      <c r="J414" s="10"/>
    </row>
    <row r="415" spans="1:10" x14ac:dyDescent="0.3">
      <c r="A415" s="50"/>
      <c r="B415" s="10"/>
      <c r="C415" s="10"/>
      <c r="D415" s="10"/>
      <c r="E415" s="10"/>
      <c r="F415" s="10"/>
      <c r="G415" s="29"/>
      <c r="H415" s="10"/>
      <c r="I415" s="10"/>
      <c r="J415" s="10"/>
    </row>
    <row r="416" spans="1:10" x14ac:dyDescent="0.3">
      <c r="A416" s="50"/>
      <c r="B416" s="10"/>
      <c r="C416" s="10"/>
      <c r="D416" s="10"/>
      <c r="E416" s="10"/>
      <c r="F416" s="10"/>
      <c r="G416" s="29"/>
      <c r="H416" s="10"/>
      <c r="I416" s="10"/>
      <c r="J416" s="10"/>
    </row>
    <row r="417" spans="1:10" x14ac:dyDescent="0.3">
      <c r="A417" s="50"/>
      <c r="B417" s="10"/>
      <c r="C417" s="10"/>
      <c r="D417" s="10"/>
      <c r="E417" s="10"/>
      <c r="F417" s="10"/>
      <c r="G417" s="29"/>
      <c r="H417" s="10"/>
      <c r="I417" s="10"/>
      <c r="J417" s="10"/>
    </row>
    <row r="418" spans="1:10" x14ac:dyDescent="0.3">
      <c r="A418" s="50"/>
      <c r="B418" s="10"/>
      <c r="C418" s="10"/>
      <c r="D418" s="10"/>
      <c r="E418" s="10"/>
      <c r="F418" s="10"/>
      <c r="G418" s="29"/>
      <c r="H418" s="10"/>
      <c r="I418" s="10"/>
      <c r="J418" s="10"/>
    </row>
    <row r="419" spans="1:10" x14ac:dyDescent="0.3">
      <c r="A419" s="50"/>
      <c r="B419" s="10"/>
      <c r="C419" s="10"/>
      <c r="D419" s="10"/>
      <c r="E419" s="10"/>
      <c r="F419" s="10"/>
      <c r="G419" s="29"/>
      <c r="H419" s="10"/>
      <c r="I419" s="10"/>
      <c r="J419" s="10"/>
    </row>
    <row r="420" spans="1:10" x14ac:dyDescent="0.3">
      <c r="A420" s="50"/>
      <c r="B420" s="10"/>
      <c r="C420" s="10"/>
      <c r="D420" s="10"/>
      <c r="E420" s="10"/>
      <c r="F420" s="10"/>
      <c r="G420" s="29"/>
      <c r="H420" s="10"/>
      <c r="I420" s="10"/>
      <c r="J420" s="10"/>
    </row>
    <row r="421" spans="1:10" x14ac:dyDescent="0.3">
      <c r="A421" s="50"/>
      <c r="B421" s="10"/>
      <c r="C421" s="10"/>
      <c r="D421" s="10"/>
      <c r="E421" s="10"/>
      <c r="F421" s="10"/>
      <c r="G421" s="29"/>
      <c r="H421" s="10"/>
      <c r="I421" s="10"/>
      <c r="J421" s="10"/>
    </row>
    <row r="422" spans="1:10" x14ac:dyDescent="0.3">
      <c r="A422" s="50"/>
      <c r="B422" s="10"/>
      <c r="C422" s="10"/>
      <c r="D422" s="10"/>
      <c r="E422" s="10"/>
      <c r="F422" s="10"/>
      <c r="G422" s="29"/>
      <c r="H422" s="10"/>
      <c r="I422" s="10"/>
      <c r="J422" s="10"/>
    </row>
    <row r="423" spans="1:10" x14ac:dyDescent="0.3">
      <c r="A423" s="50"/>
      <c r="B423" s="10"/>
      <c r="C423" s="10"/>
      <c r="D423" s="10"/>
      <c r="E423" s="10"/>
      <c r="F423" s="10"/>
      <c r="G423" s="29"/>
      <c r="H423" s="10"/>
      <c r="I423" s="10"/>
      <c r="J423" s="10"/>
    </row>
    <row r="424" spans="1:10" x14ac:dyDescent="0.3">
      <c r="A424" s="50"/>
      <c r="B424" s="10"/>
      <c r="C424" s="10"/>
      <c r="D424" s="10"/>
      <c r="E424" s="10"/>
      <c r="F424" s="10"/>
      <c r="G424" s="29"/>
      <c r="H424" s="10"/>
      <c r="I424" s="10"/>
      <c r="J424" s="10"/>
    </row>
    <row r="425" spans="1:10" x14ac:dyDescent="0.3">
      <c r="A425" s="50"/>
      <c r="B425" s="10"/>
      <c r="C425" s="10"/>
      <c r="D425" s="10"/>
      <c r="E425" s="10"/>
      <c r="F425" s="10"/>
      <c r="G425" s="29"/>
      <c r="H425" s="10"/>
      <c r="I425" s="10"/>
      <c r="J425" s="10"/>
    </row>
    <row r="426" spans="1:10" x14ac:dyDescent="0.3">
      <c r="A426" s="50"/>
      <c r="B426" s="10"/>
      <c r="C426" s="10"/>
      <c r="D426" s="10"/>
      <c r="E426" s="10"/>
      <c r="F426" s="10"/>
      <c r="G426" s="29"/>
      <c r="H426" s="10"/>
      <c r="I426" s="10"/>
      <c r="J426" s="10"/>
    </row>
    <row r="427" spans="1:10" x14ac:dyDescent="0.3">
      <c r="A427" s="50"/>
      <c r="B427" s="10"/>
      <c r="C427" s="10"/>
      <c r="D427" s="10"/>
      <c r="E427" s="10"/>
      <c r="F427" s="10"/>
      <c r="G427" s="29"/>
      <c r="H427" s="10"/>
      <c r="I427" s="10"/>
      <c r="J427" s="10"/>
    </row>
    <row r="428" spans="1:10" x14ac:dyDescent="0.3">
      <c r="A428" s="50"/>
      <c r="B428" s="10"/>
      <c r="C428" s="10"/>
      <c r="D428" s="10"/>
      <c r="E428" s="10"/>
      <c r="F428" s="10"/>
      <c r="G428" s="29"/>
      <c r="H428" s="10"/>
      <c r="I428" s="10"/>
      <c r="J428" s="10"/>
    </row>
    <row r="429" spans="1:10" x14ac:dyDescent="0.3">
      <c r="A429" s="50"/>
      <c r="B429" s="10"/>
      <c r="C429" s="10"/>
      <c r="D429" s="10"/>
      <c r="E429" s="10"/>
      <c r="F429" s="10"/>
      <c r="G429" s="29"/>
      <c r="H429" s="10"/>
      <c r="I429" s="10"/>
      <c r="J429" s="10"/>
    </row>
    <row r="430" spans="1:10" x14ac:dyDescent="0.3">
      <c r="A430" s="50"/>
      <c r="B430" s="10"/>
      <c r="C430" s="10"/>
      <c r="D430" s="10"/>
      <c r="E430" s="10"/>
      <c r="F430" s="10"/>
      <c r="G430" s="29"/>
      <c r="H430" s="10"/>
      <c r="I430" s="10"/>
      <c r="J430" s="10"/>
    </row>
    <row r="431" spans="1:10" x14ac:dyDescent="0.3">
      <c r="A431" s="50"/>
      <c r="B431" s="10"/>
      <c r="C431" s="10"/>
      <c r="D431" s="10"/>
      <c r="E431" s="10"/>
      <c r="F431" s="10"/>
      <c r="G431" s="29"/>
      <c r="H431" s="10"/>
      <c r="I431" s="10"/>
      <c r="J431" s="10"/>
    </row>
    <row r="432" spans="1:10" x14ac:dyDescent="0.3">
      <c r="A432" s="50"/>
      <c r="B432" s="10"/>
      <c r="C432" s="10"/>
      <c r="D432" s="10"/>
      <c r="E432" s="10"/>
      <c r="F432" s="10"/>
      <c r="G432" s="29"/>
      <c r="H432" s="10"/>
      <c r="I432" s="10"/>
      <c r="J432" s="10"/>
    </row>
    <row r="433" spans="1:10" x14ac:dyDescent="0.3">
      <c r="A433" s="50"/>
      <c r="B433" s="10"/>
      <c r="C433" s="10"/>
      <c r="D433" s="10"/>
      <c r="E433" s="10"/>
      <c r="F433" s="10"/>
      <c r="G433" s="29"/>
      <c r="H433" s="10"/>
      <c r="I433" s="10"/>
      <c r="J433" s="10"/>
    </row>
    <row r="434" spans="1:10" x14ac:dyDescent="0.3">
      <c r="A434" s="50"/>
      <c r="B434" s="10"/>
      <c r="C434" s="10"/>
      <c r="D434" s="10"/>
      <c r="E434" s="10"/>
      <c r="F434" s="10"/>
      <c r="G434" s="29"/>
      <c r="H434" s="10"/>
      <c r="I434" s="10"/>
      <c r="J434" s="10"/>
    </row>
    <row r="435" spans="1:10" x14ac:dyDescent="0.3">
      <c r="A435" s="50"/>
      <c r="B435" s="10"/>
      <c r="C435" s="10"/>
      <c r="D435" s="10"/>
      <c r="E435" s="10"/>
      <c r="F435" s="10"/>
      <c r="G435" s="29"/>
      <c r="H435" s="10"/>
      <c r="I435" s="10"/>
      <c r="J435" s="10"/>
    </row>
    <row r="436" spans="1:10" x14ac:dyDescent="0.3">
      <c r="A436" s="50"/>
      <c r="B436" s="10"/>
      <c r="C436" s="10"/>
      <c r="D436" s="10"/>
      <c r="E436" s="10"/>
      <c r="F436" s="10"/>
      <c r="G436" s="29"/>
      <c r="H436" s="10"/>
      <c r="I436" s="10"/>
      <c r="J436" s="10"/>
    </row>
    <row r="437" spans="1:10" x14ac:dyDescent="0.3">
      <c r="A437" s="50"/>
      <c r="B437" s="10"/>
      <c r="C437" s="10"/>
      <c r="D437" s="10"/>
      <c r="E437" s="10"/>
      <c r="F437" s="10"/>
      <c r="G437" s="29"/>
      <c r="H437" s="10"/>
      <c r="I437" s="10"/>
      <c r="J437" s="10"/>
    </row>
    <row r="438" spans="1:10" x14ac:dyDescent="0.3">
      <c r="A438" s="50"/>
      <c r="B438" s="10"/>
      <c r="C438" s="10"/>
      <c r="D438" s="10"/>
      <c r="E438" s="10"/>
      <c r="F438" s="10"/>
      <c r="G438" s="29"/>
      <c r="H438" s="10"/>
      <c r="I438" s="10"/>
      <c r="J438" s="10"/>
    </row>
    <row r="439" spans="1:10" x14ac:dyDescent="0.3">
      <c r="A439" s="50"/>
      <c r="B439" s="10"/>
      <c r="C439" s="10"/>
      <c r="D439" s="10"/>
      <c r="E439" s="10"/>
      <c r="F439" s="10"/>
      <c r="G439" s="29"/>
      <c r="H439" s="10"/>
      <c r="I439" s="10"/>
      <c r="J439" s="10"/>
    </row>
    <row r="440" spans="1:10" x14ac:dyDescent="0.3">
      <c r="A440" s="50"/>
      <c r="B440" s="10"/>
      <c r="C440" s="10"/>
      <c r="D440" s="10"/>
      <c r="E440" s="10"/>
      <c r="F440" s="10"/>
      <c r="G440" s="29"/>
      <c r="H440" s="10"/>
      <c r="I440" s="10"/>
      <c r="J440" s="10"/>
    </row>
    <row r="441" spans="1:10" x14ac:dyDescent="0.3">
      <c r="A441" s="50"/>
      <c r="B441" s="10"/>
      <c r="C441" s="10"/>
      <c r="D441" s="10"/>
      <c r="E441" s="10"/>
      <c r="F441" s="10"/>
      <c r="G441" s="29"/>
      <c r="H441" s="10"/>
      <c r="I441" s="10"/>
      <c r="J441" s="10"/>
    </row>
    <row r="442" spans="1:10" x14ac:dyDescent="0.3">
      <c r="A442" s="50"/>
      <c r="B442" s="10"/>
      <c r="C442" s="10"/>
      <c r="D442" s="10"/>
      <c r="E442" s="10"/>
      <c r="F442" s="10"/>
      <c r="G442" s="29"/>
      <c r="H442" s="10"/>
      <c r="I442" s="10"/>
      <c r="J442" s="10"/>
    </row>
    <row r="443" spans="1:10" x14ac:dyDescent="0.3">
      <c r="A443" s="50"/>
      <c r="B443" s="10"/>
      <c r="C443" s="10"/>
      <c r="D443" s="10"/>
      <c r="E443" s="10"/>
      <c r="F443" s="10"/>
      <c r="G443" s="29"/>
      <c r="H443" s="10"/>
      <c r="I443" s="10"/>
      <c r="J443" s="10"/>
    </row>
    <row r="444" spans="1:10" x14ac:dyDescent="0.3">
      <c r="A444" s="50"/>
      <c r="B444" s="10"/>
      <c r="C444" s="10"/>
      <c r="D444" s="10"/>
      <c r="E444" s="10"/>
      <c r="F444" s="10"/>
      <c r="G444" s="29"/>
      <c r="H444" s="10"/>
      <c r="I444" s="10"/>
      <c r="J444" s="10"/>
    </row>
    <row r="445" spans="1:10" x14ac:dyDescent="0.3">
      <c r="A445" s="50"/>
      <c r="B445" s="10"/>
      <c r="C445" s="10"/>
      <c r="D445" s="10"/>
      <c r="E445" s="10"/>
      <c r="F445" s="10"/>
      <c r="G445" s="29"/>
      <c r="H445" s="10"/>
      <c r="I445" s="10"/>
      <c r="J445" s="10"/>
    </row>
    <row r="446" spans="1:10" x14ac:dyDescent="0.3">
      <c r="A446" s="50"/>
      <c r="B446" s="10"/>
      <c r="C446" s="10"/>
      <c r="D446" s="10"/>
      <c r="E446" s="10"/>
      <c r="F446" s="10"/>
      <c r="G446" s="29"/>
      <c r="H446" s="10"/>
      <c r="I446" s="10"/>
      <c r="J446" s="10"/>
    </row>
    <row r="447" spans="1:10" x14ac:dyDescent="0.3">
      <c r="A447" s="50"/>
      <c r="B447" s="10"/>
      <c r="C447" s="10"/>
      <c r="D447" s="10"/>
      <c r="E447" s="10"/>
      <c r="F447" s="10"/>
      <c r="G447" s="29"/>
      <c r="H447" s="10"/>
      <c r="I447" s="10"/>
      <c r="J447" s="10"/>
    </row>
    <row r="448" spans="1:10" x14ac:dyDescent="0.3">
      <c r="A448" s="50"/>
      <c r="B448" s="10"/>
      <c r="C448" s="10"/>
      <c r="D448" s="10"/>
      <c r="E448" s="10"/>
      <c r="F448" s="10"/>
      <c r="G448" s="29"/>
      <c r="H448" s="10"/>
      <c r="I448" s="10"/>
      <c r="J448" s="10"/>
    </row>
    <row r="449" spans="1:10" x14ac:dyDescent="0.3">
      <c r="A449" s="50"/>
      <c r="B449" s="10"/>
      <c r="C449" s="10"/>
      <c r="D449" s="10"/>
      <c r="E449" s="10"/>
      <c r="F449" s="10"/>
      <c r="G449" s="29"/>
      <c r="H449" s="10"/>
      <c r="I449" s="10"/>
      <c r="J449" s="10"/>
    </row>
    <row r="450" spans="1:10" x14ac:dyDescent="0.3">
      <c r="A450" s="50"/>
      <c r="B450" s="10"/>
      <c r="C450" s="10"/>
      <c r="D450" s="10"/>
      <c r="E450" s="10"/>
      <c r="F450" s="10"/>
      <c r="G450" s="29"/>
      <c r="H450" s="10"/>
      <c r="I450" s="10"/>
      <c r="J450" s="10"/>
    </row>
    <row r="451" spans="1:10" x14ac:dyDescent="0.3">
      <c r="A451" s="50"/>
      <c r="B451" s="10"/>
      <c r="C451" s="10"/>
      <c r="D451" s="10"/>
      <c r="E451" s="10"/>
      <c r="F451" s="10"/>
      <c r="G451" s="29"/>
      <c r="H451" s="10"/>
      <c r="I451" s="10"/>
      <c r="J451" s="10"/>
    </row>
    <row r="452" spans="1:10" x14ac:dyDescent="0.3">
      <c r="A452" s="50"/>
      <c r="B452" s="10"/>
      <c r="C452" s="10"/>
      <c r="D452" s="10"/>
      <c r="E452" s="10"/>
      <c r="F452" s="10"/>
      <c r="G452" s="29"/>
      <c r="H452" s="10"/>
      <c r="I452" s="10"/>
      <c r="J452" s="10"/>
    </row>
    <row r="453" spans="1:10" x14ac:dyDescent="0.3">
      <c r="A453" s="50"/>
      <c r="B453" s="10"/>
      <c r="C453" s="10"/>
      <c r="D453" s="10"/>
      <c r="E453" s="10"/>
      <c r="F453" s="10"/>
      <c r="G453" s="29"/>
      <c r="H453" s="10"/>
      <c r="I453" s="10"/>
      <c r="J453" s="10"/>
    </row>
    <row r="454" spans="1:10" x14ac:dyDescent="0.3">
      <c r="A454" s="50"/>
      <c r="B454" s="10"/>
      <c r="C454" s="10"/>
      <c r="D454" s="10"/>
      <c r="E454" s="10"/>
      <c r="F454" s="10"/>
      <c r="G454" s="29"/>
      <c r="H454" s="10"/>
      <c r="I454" s="10"/>
      <c r="J454" s="10"/>
    </row>
    <row r="455" spans="1:10" x14ac:dyDescent="0.3">
      <c r="A455" s="50"/>
      <c r="B455" s="10"/>
      <c r="C455" s="10"/>
      <c r="D455" s="10"/>
      <c r="E455" s="10"/>
      <c r="F455" s="10"/>
      <c r="G455" s="29"/>
      <c r="H455" s="10"/>
      <c r="I455" s="10"/>
      <c r="J455" s="10"/>
    </row>
    <row r="456" spans="1:10" x14ac:dyDescent="0.3">
      <c r="A456" s="50"/>
      <c r="B456" s="10"/>
      <c r="C456" s="10"/>
      <c r="D456" s="10"/>
      <c r="E456" s="10"/>
      <c r="F456" s="10"/>
      <c r="G456" s="29"/>
      <c r="H456" s="10"/>
      <c r="I456" s="10"/>
      <c r="J456" s="10"/>
    </row>
    <row r="457" spans="1:10" x14ac:dyDescent="0.3">
      <c r="A457" s="50"/>
      <c r="B457" s="10"/>
      <c r="C457" s="10"/>
      <c r="D457" s="10"/>
      <c r="E457" s="10"/>
      <c r="F457" s="10"/>
      <c r="G457" s="29"/>
      <c r="H457" s="10"/>
      <c r="I457" s="10"/>
      <c r="J457" s="10"/>
    </row>
    <row r="458" spans="1:10" x14ac:dyDescent="0.3">
      <c r="A458" s="50"/>
      <c r="B458" s="10"/>
      <c r="C458" s="10"/>
      <c r="D458" s="10"/>
      <c r="E458" s="10"/>
      <c r="F458" s="10"/>
      <c r="G458" s="29"/>
      <c r="H458" s="10"/>
      <c r="I458" s="10"/>
      <c r="J458" s="10"/>
    </row>
    <row r="459" spans="1:10" x14ac:dyDescent="0.3">
      <c r="A459" s="50"/>
      <c r="B459" s="10"/>
      <c r="C459" s="10"/>
      <c r="D459" s="10"/>
      <c r="E459" s="10"/>
      <c r="F459" s="10"/>
      <c r="G459" s="29"/>
      <c r="H459" s="10"/>
      <c r="I459" s="10"/>
      <c r="J459" s="10"/>
    </row>
    <row r="460" spans="1:10" x14ac:dyDescent="0.3">
      <c r="A460" s="50"/>
      <c r="B460" s="10"/>
      <c r="C460" s="10"/>
      <c r="D460" s="10"/>
      <c r="E460" s="10"/>
      <c r="F460" s="10"/>
      <c r="G460" s="29"/>
      <c r="H460" s="10"/>
      <c r="I460" s="10"/>
      <c r="J460" s="10"/>
    </row>
    <row r="461" spans="1:10" x14ac:dyDescent="0.3">
      <c r="A461" s="50"/>
      <c r="B461" s="10"/>
      <c r="C461" s="10"/>
      <c r="D461" s="10"/>
      <c r="E461" s="10"/>
      <c r="F461" s="10"/>
      <c r="G461" s="29"/>
      <c r="H461" s="10"/>
      <c r="I461" s="10"/>
      <c r="J461" s="10"/>
    </row>
    <row r="462" spans="1:10" x14ac:dyDescent="0.3">
      <c r="A462" s="50"/>
      <c r="B462" s="10"/>
      <c r="C462" s="10"/>
      <c r="D462" s="10"/>
      <c r="E462" s="10"/>
      <c r="F462" s="10"/>
      <c r="G462" s="29"/>
      <c r="H462" s="10"/>
      <c r="I462" s="10"/>
      <c r="J462" s="10"/>
    </row>
    <row r="463" spans="1:10" x14ac:dyDescent="0.3">
      <c r="A463" s="50"/>
      <c r="B463" s="10"/>
      <c r="C463" s="10"/>
      <c r="D463" s="10"/>
      <c r="E463" s="10"/>
      <c r="F463" s="10"/>
      <c r="G463" s="29"/>
      <c r="H463" s="10"/>
      <c r="I463" s="10"/>
      <c r="J463" s="10"/>
    </row>
    <row r="464" spans="1:10" x14ac:dyDescent="0.3">
      <c r="A464" s="50"/>
      <c r="B464" s="10"/>
      <c r="C464" s="10"/>
      <c r="D464" s="10"/>
      <c r="E464" s="10"/>
      <c r="F464" s="10"/>
      <c r="G464" s="29"/>
      <c r="H464" s="10"/>
      <c r="I464" s="10"/>
      <c r="J464" s="10"/>
    </row>
    <row r="465" spans="1:10" x14ac:dyDescent="0.3">
      <c r="A465" s="50"/>
      <c r="B465" s="10"/>
      <c r="C465" s="10"/>
      <c r="D465" s="10"/>
      <c r="E465" s="10"/>
      <c r="F465" s="10"/>
      <c r="G465" s="29"/>
      <c r="H465" s="10"/>
      <c r="I465" s="10"/>
      <c r="J465" s="10"/>
    </row>
    <row r="466" spans="1:10" x14ac:dyDescent="0.3">
      <c r="A466" s="50"/>
      <c r="B466" s="10"/>
      <c r="C466" s="10"/>
      <c r="D466" s="10"/>
      <c r="E466" s="10"/>
      <c r="F466" s="10"/>
      <c r="G466" s="29"/>
      <c r="H466" s="10"/>
      <c r="I466" s="10"/>
      <c r="J466" s="10"/>
    </row>
    <row r="467" spans="1:10" x14ac:dyDescent="0.3">
      <c r="A467" s="50"/>
      <c r="B467" s="10"/>
      <c r="C467" s="10"/>
      <c r="D467" s="10"/>
      <c r="E467" s="10"/>
      <c r="F467" s="10"/>
      <c r="G467" s="29"/>
      <c r="H467" s="10"/>
      <c r="I467" s="10"/>
      <c r="J467" s="10"/>
    </row>
    <row r="468" spans="1:10" x14ac:dyDescent="0.3">
      <c r="A468" s="50"/>
      <c r="B468" s="10"/>
      <c r="C468" s="10"/>
      <c r="D468" s="10"/>
      <c r="E468" s="10"/>
      <c r="F468" s="10"/>
      <c r="G468" s="29"/>
      <c r="H468" s="10"/>
      <c r="I468" s="10"/>
      <c r="J468" s="10"/>
    </row>
    <row r="469" spans="1:10" x14ac:dyDescent="0.3">
      <c r="A469" s="50"/>
      <c r="B469" s="10"/>
      <c r="C469" s="10"/>
      <c r="D469" s="10"/>
      <c r="E469" s="10"/>
      <c r="F469" s="10"/>
      <c r="G469" s="29"/>
      <c r="H469" s="10"/>
      <c r="I469" s="10"/>
      <c r="J469" s="10"/>
    </row>
    <row r="470" spans="1:10" x14ac:dyDescent="0.3">
      <c r="A470" s="50"/>
      <c r="B470" s="10"/>
      <c r="C470" s="10"/>
      <c r="D470" s="10"/>
      <c r="E470" s="10"/>
      <c r="F470" s="10"/>
      <c r="G470" s="29"/>
      <c r="H470" s="10"/>
      <c r="I470" s="10"/>
      <c r="J470" s="10"/>
    </row>
    <row r="471" spans="1:10" x14ac:dyDescent="0.3">
      <c r="A471" s="50"/>
      <c r="B471" s="10"/>
      <c r="C471" s="10"/>
      <c r="D471" s="10"/>
      <c r="E471" s="10"/>
      <c r="F471" s="10"/>
      <c r="G471" s="29"/>
      <c r="H471" s="10"/>
      <c r="I471" s="10"/>
      <c r="J471" s="10"/>
    </row>
    <row r="472" spans="1:10" x14ac:dyDescent="0.3">
      <c r="A472" s="50"/>
      <c r="B472" s="10"/>
      <c r="C472" s="10"/>
      <c r="D472" s="10"/>
      <c r="E472" s="10"/>
      <c r="F472" s="10"/>
      <c r="G472" s="29"/>
      <c r="H472" s="10"/>
      <c r="I472" s="10"/>
      <c r="J472" s="10"/>
    </row>
    <row r="473" spans="1:10" x14ac:dyDescent="0.3">
      <c r="A473" s="50"/>
      <c r="B473" s="10"/>
      <c r="C473" s="10"/>
      <c r="D473" s="10"/>
      <c r="E473" s="10"/>
      <c r="F473" s="10"/>
      <c r="G473" s="29"/>
      <c r="H473" s="10"/>
      <c r="I473" s="10"/>
      <c r="J473" s="10"/>
    </row>
    <row r="474" spans="1:10" x14ac:dyDescent="0.3">
      <c r="A474" s="50"/>
      <c r="B474" s="10"/>
      <c r="C474" s="10"/>
      <c r="D474" s="10"/>
      <c r="E474" s="10"/>
      <c r="F474" s="10"/>
      <c r="G474" s="29"/>
      <c r="H474" s="10"/>
      <c r="I474" s="10"/>
      <c r="J474" s="10"/>
    </row>
    <row r="475" spans="1:10" x14ac:dyDescent="0.3">
      <c r="A475" s="50"/>
      <c r="B475" s="10"/>
      <c r="C475" s="10"/>
      <c r="D475" s="10"/>
      <c r="E475" s="10"/>
      <c r="F475" s="10"/>
      <c r="G475" s="29"/>
      <c r="H475" s="10"/>
      <c r="I475" s="10"/>
      <c r="J475" s="10"/>
    </row>
    <row r="476" spans="1:10" x14ac:dyDescent="0.3">
      <c r="A476" s="50"/>
      <c r="B476" s="10"/>
      <c r="C476" s="10"/>
      <c r="D476" s="10"/>
      <c r="E476" s="10"/>
      <c r="F476" s="10"/>
      <c r="G476" s="29"/>
      <c r="H476" s="10"/>
      <c r="I476" s="10"/>
      <c r="J476" s="10"/>
    </row>
    <row r="477" spans="1:10" x14ac:dyDescent="0.3">
      <c r="A477" s="50"/>
      <c r="B477" s="10"/>
      <c r="C477" s="10"/>
      <c r="D477" s="10"/>
      <c r="E477" s="10"/>
      <c r="F477" s="10"/>
      <c r="G477" s="29"/>
      <c r="H477" s="10"/>
      <c r="I477" s="10"/>
      <c r="J477" s="10"/>
    </row>
    <row r="478" spans="1:10" x14ac:dyDescent="0.3">
      <c r="A478" s="50"/>
      <c r="B478" s="10"/>
      <c r="C478" s="10"/>
      <c r="D478" s="10"/>
      <c r="E478" s="10"/>
      <c r="F478" s="10"/>
      <c r="G478" s="29"/>
      <c r="H478" s="10"/>
      <c r="I478" s="10"/>
      <c r="J478" s="10"/>
    </row>
    <row r="479" spans="1:10" x14ac:dyDescent="0.3">
      <c r="A479" s="50"/>
      <c r="B479" s="10"/>
      <c r="C479" s="10"/>
      <c r="D479" s="10"/>
      <c r="E479" s="10"/>
      <c r="F479" s="10"/>
      <c r="G479" s="29"/>
      <c r="H479" s="10"/>
      <c r="I479" s="10"/>
      <c r="J479" s="10"/>
    </row>
    <row r="480" spans="1:10" x14ac:dyDescent="0.3">
      <c r="A480" s="50"/>
      <c r="B480" s="10"/>
      <c r="C480" s="10"/>
      <c r="D480" s="10"/>
      <c r="E480" s="10"/>
      <c r="F480" s="10"/>
      <c r="G480" s="29"/>
      <c r="H480" s="10"/>
      <c r="I480" s="10"/>
      <c r="J480" s="10"/>
    </row>
    <row r="481" spans="1:10" x14ac:dyDescent="0.3">
      <c r="A481" s="50"/>
      <c r="B481" s="10"/>
      <c r="C481" s="10"/>
      <c r="D481" s="10"/>
      <c r="E481" s="10"/>
      <c r="F481" s="10"/>
      <c r="G481" s="29"/>
      <c r="H481" s="10"/>
      <c r="I481" s="10"/>
      <c r="J481" s="10"/>
    </row>
    <row r="482" spans="1:10" x14ac:dyDescent="0.3">
      <c r="A482" s="50"/>
      <c r="B482" s="10"/>
      <c r="C482" s="10"/>
      <c r="D482" s="10"/>
      <c r="E482" s="10"/>
      <c r="F482" s="10"/>
      <c r="G482" s="29"/>
      <c r="H482" s="10"/>
      <c r="I482" s="10"/>
      <c r="J482" s="10"/>
    </row>
    <row r="483" spans="1:10" x14ac:dyDescent="0.3">
      <c r="A483" s="50"/>
      <c r="B483" s="10"/>
      <c r="C483" s="10"/>
      <c r="D483" s="10"/>
      <c r="E483" s="10"/>
      <c r="F483" s="10"/>
      <c r="G483" s="29"/>
      <c r="H483" s="10"/>
      <c r="I483" s="10"/>
      <c r="J483" s="10"/>
    </row>
    <row r="484" spans="1:10" x14ac:dyDescent="0.3">
      <c r="A484" s="50"/>
      <c r="B484" s="10"/>
      <c r="C484" s="10"/>
      <c r="D484" s="10"/>
      <c r="E484" s="10"/>
      <c r="F484" s="10"/>
      <c r="G484" s="29"/>
      <c r="H484" s="10"/>
      <c r="I484" s="10"/>
      <c r="J484" s="10"/>
    </row>
    <row r="485" spans="1:10" x14ac:dyDescent="0.3">
      <c r="A485" s="50"/>
      <c r="B485" s="10"/>
      <c r="C485" s="10"/>
      <c r="D485" s="10"/>
      <c r="E485" s="10"/>
      <c r="F485" s="10"/>
      <c r="G485" s="29"/>
      <c r="H485" s="10"/>
      <c r="I485" s="10"/>
      <c r="J485" s="10"/>
    </row>
    <row r="486" spans="1:10" x14ac:dyDescent="0.3">
      <c r="A486" s="50"/>
      <c r="B486" s="10"/>
      <c r="C486" s="10"/>
      <c r="D486" s="10"/>
      <c r="E486" s="10"/>
      <c r="F486" s="10"/>
      <c r="G486" s="29"/>
      <c r="H486" s="10"/>
      <c r="I486" s="10"/>
      <c r="J486" s="10"/>
    </row>
    <row r="487" spans="1:10" x14ac:dyDescent="0.3">
      <c r="A487" s="50"/>
      <c r="B487" s="10"/>
      <c r="C487" s="10"/>
      <c r="D487" s="10"/>
      <c r="E487" s="10"/>
      <c r="F487" s="10"/>
      <c r="G487" s="29"/>
      <c r="H487" s="10"/>
      <c r="I487" s="10"/>
      <c r="J487" s="10"/>
    </row>
    <row r="488" spans="1:10" x14ac:dyDescent="0.3">
      <c r="A488" s="50"/>
      <c r="B488" s="10"/>
      <c r="C488" s="10"/>
      <c r="D488" s="10"/>
      <c r="E488" s="10"/>
      <c r="F488" s="10"/>
      <c r="G488" s="29"/>
      <c r="H488" s="10"/>
      <c r="I488" s="10"/>
      <c r="J488" s="10"/>
    </row>
    <row r="489" spans="1:10" x14ac:dyDescent="0.3">
      <c r="A489" s="50"/>
      <c r="B489" s="10"/>
      <c r="C489" s="10"/>
      <c r="D489" s="10"/>
      <c r="E489" s="10"/>
      <c r="F489" s="10"/>
      <c r="G489" s="29"/>
      <c r="H489" s="10"/>
      <c r="I489" s="10"/>
      <c r="J489" s="10"/>
    </row>
    <row r="490" spans="1:10" x14ac:dyDescent="0.3">
      <c r="A490" s="50"/>
      <c r="B490" s="10"/>
      <c r="C490" s="10"/>
      <c r="D490" s="10"/>
      <c r="E490" s="10"/>
      <c r="F490" s="10"/>
      <c r="G490" s="29"/>
      <c r="H490" s="10"/>
      <c r="I490" s="10"/>
      <c r="J490" s="10"/>
    </row>
    <row r="491" spans="1:10" x14ac:dyDescent="0.3">
      <c r="A491" s="50"/>
      <c r="B491" s="10"/>
      <c r="C491" s="10"/>
      <c r="D491" s="10"/>
      <c r="E491" s="10"/>
      <c r="F491" s="10"/>
      <c r="G491" s="29"/>
      <c r="H491" s="10"/>
      <c r="I491" s="10"/>
      <c r="J491" s="10"/>
    </row>
    <row r="492" spans="1:10" x14ac:dyDescent="0.3">
      <c r="A492" s="50"/>
      <c r="B492" s="10"/>
      <c r="C492" s="10"/>
      <c r="D492" s="10"/>
      <c r="E492" s="10"/>
      <c r="F492" s="10"/>
      <c r="G492" s="29"/>
      <c r="H492" s="10"/>
      <c r="I492" s="10"/>
      <c r="J492" s="10"/>
    </row>
    <row r="493" spans="1:10" x14ac:dyDescent="0.3">
      <c r="A493" s="50"/>
      <c r="B493" s="10"/>
      <c r="C493" s="10"/>
      <c r="D493" s="10"/>
      <c r="E493" s="10"/>
      <c r="F493" s="10"/>
      <c r="G493" s="29"/>
      <c r="H493" s="10"/>
      <c r="I493" s="10"/>
      <c r="J493" s="10"/>
    </row>
    <row r="494" spans="1:10" x14ac:dyDescent="0.3">
      <c r="A494" s="50"/>
      <c r="B494" s="10"/>
      <c r="C494" s="10"/>
      <c r="D494" s="10"/>
      <c r="E494" s="10"/>
      <c r="F494" s="10"/>
      <c r="G494" s="29"/>
      <c r="H494" s="10"/>
      <c r="I494" s="10"/>
      <c r="J494" s="10"/>
    </row>
    <row r="495" spans="1:10" x14ac:dyDescent="0.3">
      <c r="A495" s="50"/>
      <c r="B495" s="10"/>
      <c r="C495" s="10"/>
      <c r="D495" s="10"/>
      <c r="E495" s="10"/>
      <c r="F495" s="10"/>
      <c r="G495" s="29"/>
      <c r="H495" s="10"/>
      <c r="I495" s="10"/>
      <c r="J495" s="10"/>
    </row>
    <row r="496" spans="1:10" x14ac:dyDescent="0.3">
      <c r="A496" s="50"/>
      <c r="B496" s="10"/>
      <c r="C496" s="10"/>
      <c r="D496" s="10"/>
      <c r="E496" s="10"/>
      <c r="F496" s="10"/>
      <c r="G496" s="29"/>
      <c r="H496" s="10"/>
      <c r="I496" s="10"/>
      <c r="J496" s="10"/>
    </row>
    <row r="497" spans="1:10" x14ac:dyDescent="0.3">
      <c r="A497" s="50"/>
      <c r="B497" s="10"/>
      <c r="C497" s="10"/>
      <c r="D497" s="10"/>
      <c r="E497" s="10"/>
      <c r="F497" s="10"/>
      <c r="G497" s="29"/>
      <c r="H497" s="10"/>
      <c r="I497" s="10"/>
      <c r="J497" s="10"/>
    </row>
    <row r="498" spans="1:10" x14ac:dyDescent="0.3">
      <c r="A498" s="50"/>
      <c r="B498" s="10"/>
      <c r="C498" s="10"/>
      <c r="D498" s="10"/>
      <c r="E498" s="10"/>
      <c r="F498" s="10"/>
      <c r="G498" s="29"/>
      <c r="H498" s="10"/>
      <c r="I498" s="10"/>
      <c r="J498" s="10"/>
    </row>
    <row r="499" spans="1:10" x14ac:dyDescent="0.3">
      <c r="A499" s="50"/>
      <c r="B499" s="10"/>
      <c r="C499" s="10"/>
      <c r="D499" s="10"/>
      <c r="E499" s="10"/>
      <c r="F499" s="10"/>
      <c r="G499" s="29"/>
      <c r="H499" s="10"/>
      <c r="I499" s="10"/>
      <c r="J499" s="10"/>
    </row>
    <row r="500" spans="1:10" x14ac:dyDescent="0.3">
      <c r="A500" s="50"/>
      <c r="B500" s="10"/>
      <c r="C500" s="10"/>
      <c r="D500" s="10"/>
      <c r="E500" s="10"/>
      <c r="F500" s="10"/>
      <c r="G500" s="29"/>
      <c r="H500" s="10"/>
      <c r="I500" s="10"/>
      <c r="J500" s="10"/>
    </row>
    <row r="501" spans="1:10" x14ac:dyDescent="0.3">
      <c r="A501" s="50"/>
      <c r="B501" s="10"/>
      <c r="C501" s="10"/>
      <c r="D501" s="10"/>
      <c r="E501" s="10"/>
      <c r="F501" s="10"/>
      <c r="G501" s="29"/>
      <c r="H501" s="10"/>
      <c r="I501" s="10"/>
      <c r="J501" s="10"/>
    </row>
    <row r="502" spans="1:10" x14ac:dyDescent="0.3">
      <c r="A502" s="50"/>
      <c r="B502" s="10"/>
      <c r="C502" s="10"/>
      <c r="D502" s="10"/>
      <c r="E502" s="10"/>
      <c r="F502" s="10"/>
      <c r="G502" s="29"/>
      <c r="H502" s="10"/>
      <c r="I502" s="10"/>
      <c r="J502" s="10"/>
    </row>
    <row r="503" spans="1:10" x14ac:dyDescent="0.3">
      <c r="A503" s="50"/>
      <c r="B503" s="10"/>
      <c r="C503" s="10"/>
      <c r="D503" s="10"/>
      <c r="E503" s="10"/>
      <c r="F503" s="10"/>
      <c r="G503" s="29"/>
      <c r="H503" s="10"/>
      <c r="I503" s="10"/>
      <c r="J503" s="10"/>
    </row>
    <row r="504" spans="1:10" x14ac:dyDescent="0.3">
      <c r="A504" s="50"/>
      <c r="B504" s="10"/>
      <c r="C504" s="10"/>
      <c r="D504" s="10"/>
      <c r="E504" s="10"/>
      <c r="F504" s="10"/>
      <c r="G504" s="29"/>
      <c r="H504" s="10"/>
      <c r="I504" s="10"/>
      <c r="J504" s="10"/>
    </row>
    <row r="505" spans="1:10" x14ac:dyDescent="0.3">
      <c r="A505" s="50"/>
      <c r="B505" s="10"/>
      <c r="C505" s="10"/>
      <c r="D505" s="10"/>
      <c r="E505" s="10"/>
      <c r="F505" s="10"/>
      <c r="G505" s="29"/>
      <c r="H505" s="10"/>
      <c r="I505" s="10"/>
      <c r="J505" s="10"/>
    </row>
  </sheetData>
  <autoFilter ref="A4:J2000" xr:uid="{00000000-0009-0000-0000-000007000000}"/>
  <dataValidations count="3">
    <dataValidation type="list" allowBlank="1" sqref="D5:D2000" xr:uid="{00000000-0002-0000-0700-000000000000}">
      <formula1>"Hosting &amp; Database,AI Models (LLM),Voice (STT/TTS/Realtime),Browser &amp; Search,Payment Fees,Domains &amp; App Stores,Software &amp; Tools,Marketing,Other"</formula1>
    </dataValidation>
    <dataValidation type="list" allowBlank="1" sqref="E5:E2000" xr:uid="{00000000-0002-0000-0700-000001000000}">
      <formula1>"Fixed,Variable,One-time"</formula1>
    </dataValidation>
    <dataValidation type="list" allowBlank="1" sqref="F5:F2000" xr:uid="{00000000-0002-0000-0700-000002000000}">
      <formula1>"Monthly,Annual,One-time,Usage-based"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17" width="14" customWidth="1"/>
  </cols>
  <sheetData>
    <row r="1" spans="1:17" x14ac:dyDescent="0.3">
      <c r="A1" s="1" t="s">
        <v>334</v>
      </c>
    </row>
    <row r="2" spans="1:17" x14ac:dyDescent="0.3">
      <c r="A2" s="2" t="s">
        <v>335</v>
      </c>
    </row>
    <row r="4" spans="1:17" ht="42" customHeight="1" x14ac:dyDescent="0.3">
      <c r="A4" s="13" t="s">
        <v>336</v>
      </c>
      <c r="B4" s="13" t="s">
        <v>281</v>
      </c>
      <c r="C4" s="13" t="s">
        <v>337</v>
      </c>
      <c r="D4" s="13" t="s">
        <v>301</v>
      </c>
      <c r="E4" s="13" t="s">
        <v>297</v>
      </c>
      <c r="F4" s="13" t="s">
        <v>338</v>
      </c>
      <c r="G4" s="13" t="s">
        <v>308</v>
      </c>
      <c r="H4" s="13" t="s">
        <v>315</v>
      </c>
      <c r="I4" s="13" t="s">
        <v>339</v>
      </c>
      <c r="J4" s="13" t="s">
        <v>340</v>
      </c>
      <c r="K4" s="13" t="s">
        <v>341</v>
      </c>
      <c r="L4" s="13" t="s">
        <v>342</v>
      </c>
      <c r="M4" s="13" t="s">
        <v>343</v>
      </c>
      <c r="N4" s="13" t="s">
        <v>344</v>
      </c>
      <c r="O4" s="13" t="s">
        <v>345</v>
      </c>
      <c r="P4" s="13" t="s">
        <v>346</v>
      </c>
      <c r="Q4" s="13" t="s">
        <v>347</v>
      </c>
    </row>
    <row r="5" spans="1:17" x14ac:dyDescent="0.3">
      <c r="A5" s="51">
        <v>46296</v>
      </c>
      <c r="B5" s="6">
        <f>SUMIFS('Expense Log'!$G$5:$G$2000,'Expense Log'!$A$5:$A$2000,"&gt;="&amp;$A5,'Expense Log'!$A$5:$A$2000,"&lt;"&amp;EDATE($A5,1),'Expense Log'!$D$5:$D$2000,B$4)</f>
        <v>7</v>
      </c>
      <c r="C5" s="6">
        <f>SUMIFS('Expense Log'!$G$5:$G$2000,'Expense Log'!$A$5:$A$2000,"&gt;="&amp;$A5,'Expense Log'!$A$5:$A$2000,"&lt;"&amp;EDATE($A5,1),'Expense Log'!$D$5:$D$2000,C$4)</f>
        <v>0</v>
      </c>
      <c r="D5" s="6">
        <f>SUMIFS('Expense Log'!$G$5:$G$2000,'Expense Log'!$A$5:$A$2000,"&gt;="&amp;$A5,'Expense Log'!$A$5:$A$2000,"&lt;"&amp;EDATE($A5,1),'Expense Log'!$D$5:$D$2000,D$4)</f>
        <v>0</v>
      </c>
      <c r="E5" s="6">
        <f>SUMIFS('Expense Log'!$G$5:$G$2000,'Expense Log'!$A$5:$A$2000,"&gt;="&amp;$A5,'Expense Log'!$A$5:$A$2000,"&lt;"&amp;EDATE($A5,1),'Expense Log'!$D$5:$D$2000,E$4)</f>
        <v>0</v>
      </c>
      <c r="F5" s="6">
        <f>SUMIFS('Expense Log'!$G$5:$G$2000,'Expense Log'!$A$5:$A$2000,"&gt;="&amp;$A5,'Expense Log'!$A$5:$A$2000,"&lt;"&amp;EDATE($A5,1),'Expense Log'!$D$5:$D$2000,F$4)</f>
        <v>0</v>
      </c>
      <c r="G5" s="6">
        <f>SUMIFS('Expense Log'!$G$5:$G$2000,'Expense Log'!$A$5:$A$2000,"&gt;="&amp;$A5,'Expense Log'!$A$5:$A$2000,"&lt;"&amp;EDATE($A5,1),'Expense Log'!$D$5:$D$2000,G$4)</f>
        <v>0</v>
      </c>
      <c r="H5" s="6">
        <f>SUMIFS('Expense Log'!$G$5:$G$2000,'Expense Log'!$A$5:$A$2000,"&gt;="&amp;$A5,'Expense Log'!$A$5:$A$2000,"&lt;"&amp;EDATE($A5,1),'Expense Log'!$D$5:$D$2000,H$4)</f>
        <v>0</v>
      </c>
      <c r="I5" s="6">
        <f>SUMIFS('Expense Log'!$G$5:$G$2000,'Expense Log'!$A$5:$A$2000,"&gt;="&amp;$A5,'Expense Log'!$A$5:$A$2000,"&lt;"&amp;EDATE($A5,1),'Expense Log'!$D$5:$D$2000,I$4)</f>
        <v>0</v>
      </c>
      <c r="J5" s="6">
        <f>SUMIFS('Expense Log'!$G$5:$G$2000,'Expense Log'!$A$5:$A$2000,"&gt;="&amp;$A5,'Expense Log'!$A$5:$A$2000,"&lt;"&amp;EDATE($A5,1),'Expense Log'!$D$5:$D$2000,J$4)</f>
        <v>0</v>
      </c>
      <c r="K5" s="52">
        <f t="shared" ref="K5:K16" si="0">SUM(B5:J5)</f>
        <v>7</v>
      </c>
      <c r="L5" s="17"/>
      <c r="M5" s="17"/>
      <c r="N5" s="29"/>
      <c r="O5" s="18">
        <f t="shared" ref="O5:O16" si="1">IF(N(L5)=0,0,K5/L5)</f>
        <v>0</v>
      </c>
      <c r="P5" s="18">
        <f t="shared" ref="P5:P16" si="2">IF(N(M5)=0,0,K5/M5)</f>
        <v>0</v>
      </c>
      <c r="Q5" s="18">
        <f t="shared" ref="Q5:Q16" si="3">N(N5)-K5</f>
        <v>-7</v>
      </c>
    </row>
    <row r="6" spans="1:17" x14ac:dyDescent="0.3">
      <c r="A6" s="51">
        <v>46327</v>
      </c>
      <c r="B6" s="6">
        <f>SUMIFS('Expense Log'!$G$5:$G$2000,'Expense Log'!$A$5:$A$2000,"&gt;="&amp;$A6,'Expense Log'!$A$5:$A$2000,"&lt;"&amp;EDATE($A6,1),'Expense Log'!$D$5:$D$2000,B$4)</f>
        <v>0</v>
      </c>
      <c r="C6" s="6">
        <f>SUMIFS('Expense Log'!$G$5:$G$2000,'Expense Log'!$A$5:$A$2000,"&gt;="&amp;$A6,'Expense Log'!$A$5:$A$2000,"&lt;"&amp;EDATE($A6,1),'Expense Log'!$D$5:$D$2000,C$4)</f>
        <v>0</v>
      </c>
      <c r="D6" s="6">
        <f>SUMIFS('Expense Log'!$G$5:$G$2000,'Expense Log'!$A$5:$A$2000,"&gt;="&amp;$A6,'Expense Log'!$A$5:$A$2000,"&lt;"&amp;EDATE($A6,1),'Expense Log'!$D$5:$D$2000,D$4)</f>
        <v>0</v>
      </c>
      <c r="E6" s="6">
        <f>SUMIFS('Expense Log'!$G$5:$G$2000,'Expense Log'!$A$5:$A$2000,"&gt;="&amp;$A6,'Expense Log'!$A$5:$A$2000,"&lt;"&amp;EDATE($A6,1),'Expense Log'!$D$5:$D$2000,E$4)</f>
        <v>0</v>
      </c>
      <c r="F6" s="6">
        <f>SUMIFS('Expense Log'!$G$5:$G$2000,'Expense Log'!$A$5:$A$2000,"&gt;="&amp;$A6,'Expense Log'!$A$5:$A$2000,"&lt;"&amp;EDATE($A6,1),'Expense Log'!$D$5:$D$2000,F$4)</f>
        <v>0</v>
      </c>
      <c r="G6" s="6">
        <f>SUMIFS('Expense Log'!$G$5:$G$2000,'Expense Log'!$A$5:$A$2000,"&gt;="&amp;$A6,'Expense Log'!$A$5:$A$2000,"&lt;"&amp;EDATE($A6,1),'Expense Log'!$D$5:$D$2000,G$4)</f>
        <v>0</v>
      </c>
      <c r="H6" s="6">
        <f>SUMIFS('Expense Log'!$G$5:$G$2000,'Expense Log'!$A$5:$A$2000,"&gt;="&amp;$A6,'Expense Log'!$A$5:$A$2000,"&lt;"&amp;EDATE($A6,1),'Expense Log'!$D$5:$D$2000,H$4)</f>
        <v>0</v>
      </c>
      <c r="I6" s="6">
        <f>SUMIFS('Expense Log'!$G$5:$G$2000,'Expense Log'!$A$5:$A$2000,"&gt;="&amp;$A6,'Expense Log'!$A$5:$A$2000,"&lt;"&amp;EDATE($A6,1),'Expense Log'!$D$5:$D$2000,I$4)</f>
        <v>0</v>
      </c>
      <c r="J6" s="6">
        <f>SUMIFS('Expense Log'!$G$5:$G$2000,'Expense Log'!$A$5:$A$2000,"&gt;="&amp;$A6,'Expense Log'!$A$5:$A$2000,"&lt;"&amp;EDATE($A6,1),'Expense Log'!$D$5:$D$2000,J$4)</f>
        <v>0</v>
      </c>
      <c r="K6" s="52">
        <f t="shared" si="0"/>
        <v>0</v>
      </c>
      <c r="L6" s="17"/>
      <c r="M6" s="17"/>
      <c r="N6" s="29"/>
      <c r="O6" s="18">
        <f t="shared" si="1"/>
        <v>0</v>
      </c>
      <c r="P6" s="18">
        <f t="shared" si="2"/>
        <v>0</v>
      </c>
      <c r="Q6" s="18">
        <f t="shared" si="3"/>
        <v>0</v>
      </c>
    </row>
    <row r="7" spans="1:17" x14ac:dyDescent="0.3">
      <c r="A7" s="51">
        <v>46357</v>
      </c>
      <c r="B7" s="6">
        <f>SUMIFS('Expense Log'!$G$5:$G$2000,'Expense Log'!$A$5:$A$2000,"&gt;="&amp;$A7,'Expense Log'!$A$5:$A$2000,"&lt;"&amp;EDATE($A7,1),'Expense Log'!$D$5:$D$2000,B$4)</f>
        <v>0</v>
      </c>
      <c r="C7" s="6">
        <f>SUMIFS('Expense Log'!$G$5:$G$2000,'Expense Log'!$A$5:$A$2000,"&gt;="&amp;$A7,'Expense Log'!$A$5:$A$2000,"&lt;"&amp;EDATE($A7,1),'Expense Log'!$D$5:$D$2000,C$4)</f>
        <v>0</v>
      </c>
      <c r="D7" s="6">
        <f>SUMIFS('Expense Log'!$G$5:$G$2000,'Expense Log'!$A$5:$A$2000,"&gt;="&amp;$A7,'Expense Log'!$A$5:$A$2000,"&lt;"&amp;EDATE($A7,1),'Expense Log'!$D$5:$D$2000,D$4)</f>
        <v>0</v>
      </c>
      <c r="E7" s="6">
        <f>SUMIFS('Expense Log'!$G$5:$G$2000,'Expense Log'!$A$5:$A$2000,"&gt;="&amp;$A7,'Expense Log'!$A$5:$A$2000,"&lt;"&amp;EDATE($A7,1),'Expense Log'!$D$5:$D$2000,E$4)</f>
        <v>0</v>
      </c>
      <c r="F7" s="6">
        <f>SUMIFS('Expense Log'!$G$5:$G$2000,'Expense Log'!$A$5:$A$2000,"&gt;="&amp;$A7,'Expense Log'!$A$5:$A$2000,"&lt;"&amp;EDATE($A7,1),'Expense Log'!$D$5:$D$2000,F$4)</f>
        <v>0</v>
      </c>
      <c r="G7" s="6">
        <f>SUMIFS('Expense Log'!$G$5:$G$2000,'Expense Log'!$A$5:$A$2000,"&gt;="&amp;$A7,'Expense Log'!$A$5:$A$2000,"&lt;"&amp;EDATE($A7,1),'Expense Log'!$D$5:$D$2000,G$4)</f>
        <v>0</v>
      </c>
      <c r="H7" s="6">
        <f>SUMIFS('Expense Log'!$G$5:$G$2000,'Expense Log'!$A$5:$A$2000,"&gt;="&amp;$A7,'Expense Log'!$A$5:$A$2000,"&lt;"&amp;EDATE($A7,1),'Expense Log'!$D$5:$D$2000,H$4)</f>
        <v>0</v>
      </c>
      <c r="I7" s="6">
        <f>SUMIFS('Expense Log'!$G$5:$G$2000,'Expense Log'!$A$5:$A$2000,"&gt;="&amp;$A7,'Expense Log'!$A$5:$A$2000,"&lt;"&amp;EDATE($A7,1),'Expense Log'!$D$5:$D$2000,I$4)</f>
        <v>0</v>
      </c>
      <c r="J7" s="6">
        <f>SUMIFS('Expense Log'!$G$5:$G$2000,'Expense Log'!$A$5:$A$2000,"&gt;="&amp;$A7,'Expense Log'!$A$5:$A$2000,"&lt;"&amp;EDATE($A7,1),'Expense Log'!$D$5:$D$2000,J$4)</f>
        <v>0</v>
      </c>
      <c r="K7" s="52">
        <f t="shared" si="0"/>
        <v>0</v>
      </c>
      <c r="L7" s="17"/>
      <c r="M7" s="17"/>
      <c r="N7" s="29"/>
      <c r="O7" s="18">
        <f t="shared" si="1"/>
        <v>0</v>
      </c>
      <c r="P7" s="18">
        <f t="shared" si="2"/>
        <v>0</v>
      </c>
      <c r="Q7" s="18">
        <f t="shared" si="3"/>
        <v>0</v>
      </c>
    </row>
    <row r="8" spans="1:17" x14ac:dyDescent="0.3">
      <c r="A8" s="51">
        <v>46388</v>
      </c>
      <c r="B8" s="6">
        <f>SUMIFS('Expense Log'!$G$5:$G$2000,'Expense Log'!$A$5:$A$2000,"&gt;="&amp;$A8,'Expense Log'!$A$5:$A$2000,"&lt;"&amp;EDATE($A8,1),'Expense Log'!$D$5:$D$2000,B$4)</f>
        <v>0</v>
      </c>
      <c r="C8" s="6">
        <f>SUMIFS('Expense Log'!$G$5:$G$2000,'Expense Log'!$A$5:$A$2000,"&gt;="&amp;$A8,'Expense Log'!$A$5:$A$2000,"&lt;"&amp;EDATE($A8,1),'Expense Log'!$D$5:$D$2000,C$4)</f>
        <v>0</v>
      </c>
      <c r="D8" s="6">
        <f>SUMIFS('Expense Log'!$G$5:$G$2000,'Expense Log'!$A$5:$A$2000,"&gt;="&amp;$A8,'Expense Log'!$A$5:$A$2000,"&lt;"&amp;EDATE($A8,1),'Expense Log'!$D$5:$D$2000,D$4)</f>
        <v>0</v>
      </c>
      <c r="E8" s="6">
        <f>SUMIFS('Expense Log'!$G$5:$G$2000,'Expense Log'!$A$5:$A$2000,"&gt;="&amp;$A8,'Expense Log'!$A$5:$A$2000,"&lt;"&amp;EDATE($A8,1),'Expense Log'!$D$5:$D$2000,E$4)</f>
        <v>0</v>
      </c>
      <c r="F8" s="6">
        <f>SUMIFS('Expense Log'!$G$5:$G$2000,'Expense Log'!$A$5:$A$2000,"&gt;="&amp;$A8,'Expense Log'!$A$5:$A$2000,"&lt;"&amp;EDATE($A8,1),'Expense Log'!$D$5:$D$2000,F$4)</f>
        <v>0</v>
      </c>
      <c r="G8" s="6">
        <f>SUMIFS('Expense Log'!$G$5:$G$2000,'Expense Log'!$A$5:$A$2000,"&gt;="&amp;$A8,'Expense Log'!$A$5:$A$2000,"&lt;"&amp;EDATE($A8,1),'Expense Log'!$D$5:$D$2000,G$4)</f>
        <v>0</v>
      </c>
      <c r="H8" s="6">
        <f>SUMIFS('Expense Log'!$G$5:$G$2000,'Expense Log'!$A$5:$A$2000,"&gt;="&amp;$A8,'Expense Log'!$A$5:$A$2000,"&lt;"&amp;EDATE($A8,1),'Expense Log'!$D$5:$D$2000,H$4)</f>
        <v>0</v>
      </c>
      <c r="I8" s="6">
        <f>SUMIFS('Expense Log'!$G$5:$G$2000,'Expense Log'!$A$5:$A$2000,"&gt;="&amp;$A8,'Expense Log'!$A$5:$A$2000,"&lt;"&amp;EDATE($A8,1),'Expense Log'!$D$5:$D$2000,I$4)</f>
        <v>0</v>
      </c>
      <c r="J8" s="6">
        <f>SUMIFS('Expense Log'!$G$5:$G$2000,'Expense Log'!$A$5:$A$2000,"&gt;="&amp;$A8,'Expense Log'!$A$5:$A$2000,"&lt;"&amp;EDATE($A8,1),'Expense Log'!$D$5:$D$2000,J$4)</f>
        <v>0</v>
      </c>
      <c r="K8" s="52">
        <f t="shared" si="0"/>
        <v>0</v>
      </c>
      <c r="L8" s="17"/>
      <c r="M8" s="17"/>
      <c r="N8" s="29"/>
      <c r="O8" s="18">
        <f t="shared" si="1"/>
        <v>0</v>
      </c>
      <c r="P8" s="18">
        <f t="shared" si="2"/>
        <v>0</v>
      </c>
      <c r="Q8" s="18">
        <f t="shared" si="3"/>
        <v>0</v>
      </c>
    </row>
    <row r="9" spans="1:17" x14ac:dyDescent="0.3">
      <c r="A9" s="51">
        <v>46419</v>
      </c>
      <c r="B9" s="6">
        <f>SUMIFS('Expense Log'!$G$5:$G$2000,'Expense Log'!$A$5:$A$2000,"&gt;="&amp;$A9,'Expense Log'!$A$5:$A$2000,"&lt;"&amp;EDATE($A9,1),'Expense Log'!$D$5:$D$2000,B$4)</f>
        <v>0</v>
      </c>
      <c r="C9" s="6">
        <f>SUMIFS('Expense Log'!$G$5:$G$2000,'Expense Log'!$A$5:$A$2000,"&gt;="&amp;$A9,'Expense Log'!$A$5:$A$2000,"&lt;"&amp;EDATE($A9,1),'Expense Log'!$D$5:$D$2000,C$4)</f>
        <v>0</v>
      </c>
      <c r="D9" s="6">
        <f>SUMIFS('Expense Log'!$G$5:$G$2000,'Expense Log'!$A$5:$A$2000,"&gt;="&amp;$A9,'Expense Log'!$A$5:$A$2000,"&lt;"&amp;EDATE($A9,1),'Expense Log'!$D$5:$D$2000,D$4)</f>
        <v>0</v>
      </c>
      <c r="E9" s="6">
        <f>SUMIFS('Expense Log'!$G$5:$G$2000,'Expense Log'!$A$5:$A$2000,"&gt;="&amp;$A9,'Expense Log'!$A$5:$A$2000,"&lt;"&amp;EDATE($A9,1),'Expense Log'!$D$5:$D$2000,E$4)</f>
        <v>0</v>
      </c>
      <c r="F9" s="6">
        <f>SUMIFS('Expense Log'!$G$5:$G$2000,'Expense Log'!$A$5:$A$2000,"&gt;="&amp;$A9,'Expense Log'!$A$5:$A$2000,"&lt;"&amp;EDATE($A9,1),'Expense Log'!$D$5:$D$2000,F$4)</f>
        <v>0</v>
      </c>
      <c r="G9" s="6">
        <f>SUMIFS('Expense Log'!$G$5:$G$2000,'Expense Log'!$A$5:$A$2000,"&gt;="&amp;$A9,'Expense Log'!$A$5:$A$2000,"&lt;"&amp;EDATE($A9,1),'Expense Log'!$D$5:$D$2000,G$4)</f>
        <v>0</v>
      </c>
      <c r="H9" s="6">
        <f>SUMIFS('Expense Log'!$G$5:$G$2000,'Expense Log'!$A$5:$A$2000,"&gt;="&amp;$A9,'Expense Log'!$A$5:$A$2000,"&lt;"&amp;EDATE($A9,1),'Expense Log'!$D$5:$D$2000,H$4)</f>
        <v>0</v>
      </c>
      <c r="I9" s="6">
        <f>SUMIFS('Expense Log'!$G$5:$G$2000,'Expense Log'!$A$5:$A$2000,"&gt;="&amp;$A9,'Expense Log'!$A$5:$A$2000,"&lt;"&amp;EDATE($A9,1),'Expense Log'!$D$5:$D$2000,I$4)</f>
        <v>0</v>
      </c>
      <c r="J9" s="6">
        <f>SUMIFS('Expense Log'!$G$5:$G$2000,'Expense Log'!$A$5:$A$2000,"&gt;="&amp;$A9,'Expense Log'!$A$5:$A$2000,"&lt;"&amp;EDATE($A9,1),'Expense Log'!$D$5:$D$2000,J$4)</f>
        <v>0</v>
      </c>
      <c r="K9" s="52">
        <f t="shared" si="0"/>
        <v>0</v>
      </c>
      <c r="L9" s="17"/>
      <c r="M9" s="17"/>
      <c r="N9" s="29"/>
      <c r="O9" s="18">
        <f t="shared" si="1"/>
        <v>0</v>
      </c>
      <c r="P9" s="18">
        <f t="shared" si="2"/>
        <v>0</v>
      </c>
      <c r="Q9" s="18">
        <f t="shared" si="3"/>
        <v>0</v>
      </c>
    </row>
    <row r="10" spans="1:17" x14ac:dyDescent="0.3">
      <c r="A10" s="51">
        <v>46447</v>
      </c>
      <c r="B10" s="6">
        <f>SUMIFS('Expense Log'!$G$5:$G$2000,'Expense Log'!$A$5:$A$2000,"&gt;="&amp;$A10,'Expense Log'!$A$5:$A$2000,"&lt;"&amp;EDATE($A10,1),'Expense Log'!$D$5:$D$2000,B$4)</f>
        <v>0</v>
      </c>
      <c r="C10" s="6">
        <f>SUMIFS('Expense Log'!$G$5:$G$2000,'Expense Log'!$A$5:$A$2000,"&gt;="&amp;$A10,'Expense Log'!$A$5:$A$2000,"&lt;"&amp;EDATE($A10,1),'Expense Log'!$D$5:$D$2000,C$4)</f>
        <v>0</v>
      </c>
      <c r="D10" s="6">
        <f>SUMIFS('Expense Log'!$G$5:$G$2000,'Expense Log'!$A$5:$A$2000,"&gt;="&amp;$A10,'Expense Log'!$A$5:$A$2000,"&lt;"&amp;EDATE($A10,1),'Expense Log'!$D$5:$D$2000,D$4)</f>
        <v>0</v>
      </c>
      <c r="E10" s="6">
        <f>SUMIFS('Expense Log'!$G$5:$G$2000,'Expense Log'!$A$5:$A$2000,"&gt;="&amp;$A10,'Expense Log'!$A$5:$A$2000,"&lt;"&amp;EDATE($A10,1),'Expense Log'!$D$5:$D$2000,E$4)</f>
        <v>0</v>
      </c>
      <c r="F10" s="6">
        <f>SUMIFS('Expense Log'!$G$5:$G$2000,'Expense Log'!$A$5:$A$2000,"&gt;="&amp;$A10,'Expense Log'!$A$5:$A$2000,"&lt;"&amp;EDATE($A10,1),'Expense Log'!$D$5:$D$2000,F$4)</f>
        <v>0</v>
      </c>
      <c r="G10" s="6">
        <f>SUMIFS('Expense Log'!$G$5:$G$2000,'Expense Log'!$A$5:$A$2000,"&gt;="&amp;$A10,'Expense Log'!$A$5:$A$2000,"&lt;"&amp;EDATE($A10,1),'Expense Log'!$D$5:$D$2000,G$4)</f>
        <v>0</v>
      </c>
      <c r="H10" s="6">
        <f>SUMIFS('Expense Log'!$G$5:$G$2000,'Expense Log'!$A$5:$A$2000,"&gt;="&amp;$A10,'Expense Log'!$A$5:$A$2000,"&lt;"&amp;EDATE($A10,1),'Expense Log'!$D$5:$D$2000,H$4)</f>
        <v>0</v>
      </c>
      <c r="I10" s="6">
        <f>SUMIFS('Expense Log'!$G$5:$G$2000,'Expense Log'!$A$5:$A$2000,"&gt;="&amp;$A10,'Expense Log'!$A$5:$A$2000,"&lt;"&amp;EDATE($A10,1),'Expense Log'!$D$5:$D$2000,I$4)</f>
        <v>0</v>
      </c>
      <c r="J10" s="6">
        <f>SUMIFS('Expense Log'!$G$5:$G$2000,'Expense Log'!$A$5:$A$2000,"&gt;="&amp;$A10,'Expense Log'!$A$5:$A$2000,"&lt;"&amp;EDATE($A10,1),'Expense Log'!$D$5:$D$2000,J$4)</f>
        <v>0</v>
      </c>
      <c r="K10" s="52">
        <f t="shared" si="0"/>
        <v>0</v>
      </c>
      <c r="L10" s="17"/>
      <c r="M10" s="17"/>
      <c r="N10" s="29"/>
      <c r="O10" s="18">
        <f t="shared" si="1"/>
        <v>0</v>
      </c>
      <c r="P10" s="18">
        <f t="shared" si="2"/>
        <v>0</v>
      </c>
      <c r="Q10" s="18">
        <f t="shared" si="3"/>
        <v>0</v>
      </c>
    </row>
    <row r="11" spans="1:17" x14ac:dyDescent="0.3">
      <c r="A11" s="51">
        <v>46478</v>
      </c>
      <c r="B11" s="6">
        <f>SUMIFS('Expense Log'!$G$5:$G$2000,'Expense Log'!$A$5:$A$2000,"&gt;="&amp;$A11,'Expense Log'!$A$5:$A$2000,"&lt;"&amp;EDATE($A11,1),'Expense Log'!$D$5:$D$2000,B$4)</f>
        <v>0</v>
      </c>
      <c r="C11" s="6">
        <f>SUMIFS('Expense Log'!$G$5:$G$2000,'Expense Log'!$A$5:$A$2000,"&gt;="&amp;$A11,'Expense Log'!$A$5:$A$2000,"&lt;"&amp;EDATE($A11,1),'Expense Log'!$D$5:$D$2000,C$4)</f>
        <v>0</v>
      </c>
      <c r="D11" s="6">
        <f>SUMIFS('Expense Log'!$G$5:$G$2000,'Expense Log'!$A$5:$A$2000,"&gt;="&amp;$A11,'Expense Log'!$A$5:$A$2000,"&lt;"&amp;EDATE($A11,1),'Expense Log'!$D$5:$D$2000,D$4)</f>
        <v>0</v>
      </c>
      <c r="E11" s="6">
        <f>SUMIFS('Expense Log'!$G$5:$G$2000,'Expense Log'!$A$5:$A$2000,"&gt;="&amp;$A11,'Expense Log'!$A$5:$A$2000,"&lt;"&amp;EDATE($A11,1),'Expense Log'!$D$5:$D$2000,E$4)</f>
        <v>0</v>
      </c>
      <c r="F11" s="6">
        <f>SUMIFS('Expense Log'!$G$5:$G$2000,'Expense Log'!$A$5:$A$2000,"&gt;="&amp;$A11,'Expense Log'!$A$5:$A$2000,"&lt;"&amp;EDATE($A11,1),'Expense Log'!$D$5:$D$2000,F$4)</f>
        <v>0</v>
      </c>
      <c r="G11" s="6">
        <f>SUMIFS('Expense Log'!$G$5:$G$2000,'Expense Log'!$A$5:$A$2000,"&gt;="&amp;$A11,'Expense Log'!$A$5:$A$2000,"&lt;"&amp;EDATE($A11,1),'Expense Log'!$D$5:$D$2000,G$4)</f>
        <v>0</v>
      </c>
      <c r="H11" s="6">
        <f>SUMIFS('Expense Log'!$G$5:$G$2000,'Expense Log'!$A$5:$A$2000,"&gt;="&amp;$A11,'Expense Log'!$A$5:$A$2000,"&lt;"&amp;EDATE($A11,1),'Expense Log'!$D$5:$D$2000,H$4)</f>
        <v>0</v>
      </c>
      <c r="I11" s="6">
        <f>SUMIFS('Expense Log'!$G$5:$G$2000,'Expense Log'!$A$5:$A$2000,"&gt;="&amp;$A11,'Expense Log'!$A$5:$A$2000,"&lt;"&amp;EDATE($A11,1),'Expense Log'!$D$5:$D$2000,I$4)</f>
        <v>0</v>
      </c>
      <c r="J11" s="6">
        <f>SUMIFS('Expense Log'!$G$5:$G$2000,'Expense Log'!$A$5:$A$2000,"&gt;="&amp;$A11,'Expense Log'!$A$5:$A$2000,"&lt;"&amp;EDATE($A11,1),'Expense Log'!$D$5:$D$2000,J$4)</f>
        <v>0</v>
      </c>
      <c r="K11" s="52">
        <f t="shared" si="0"/>
        <v>0</v>
      </c>
      <c r="L11" s="17"/>
      <c r="M11" s="17"/>
      <c r="N11" s="29"/>
      <c r="O11" s="18">
        <f t="shared" si="1"/>
        <v>0</v>
      </c>
      <c r="P11" s="18">
        <f t="shared" si="2"/>
        <v>0</v>
      </c>
      <c r="Q11" s="18">
        <f t="shared" si="3"/>
        <v>0</v>
      </c>
    </row>
    <row r="12" spans="1:17" x14ac:dyDescent="0.3">
      <c r="A12" s="51">
        <v>46508</v>
      </c>
      <c r="B12" s="6">
        <f>SUMIFS('Expense Log'!$G$5:$G$2000,'Expense Log'!$A$5:$A$2000,"&gt;="&amp;$A12,'Expense Log'!$A$5:$A$2000,"&lt;"&amp;EDATE($A12,1),'Expense Log'!$D$5:$D$2000,B$4)</f>
        <v>0</v>
      </c>
      <c r="C12" s="6">
        <f>SUMIFS('Expense Log'!$G$5:$G$2000,'Expense Log'!$A$5:$A$2000,"&gt;="&amp;$A12,'Expense Log'!$A$5:$A$2000,"&lt;"&amp;EDATE($A12,1),'Expense Log'!$D$5:$D$2000,C$4)</f>
        <v>0</v>
      </c>
      <c r="D12" s="6">
        <f>SUMIFS('Expense Log'!$G$5:$G$2000,'Expense Log'!$A$5:$A$2000,"&gt;="&amp;$A12,'Expense Log'!$A$5:$A$2000,"&lt;"&amp;EDATE($A12,1),'Expense Log'!$D$5:$D$2000,D$4)</f>
        <v>0</v>
      </c>
      <c r="E12" s="6">
        <f>SUMIFS('Expense Log'!$G$5:$G$2000,'Expense Log'!$A$5:$A$2000,"&gt;="&amp;$A12,'Expense Log'!$A$5:$A$2000,"&lt;"&amp;EDATE($A12,1),'Expense Log'!$D$5:$D$2000,E$4)</f>
        <v>0</v>
      </c>
      <c r="F12" s="6">
        <f>SUMIFS('Expense Log'!$G$5:$G$2000,'Expense Log'!$A$5:$A$2000,"&gt;="&amp;$A12,'Expense Log'!$A$5:$A$2000,"&lt;"&amp;EDATE($A12,1),'Expense Log'!$D$5:$D$2000,F$4)</f>
        <v>0</v>
      </c>
      <c r="G12" s="6">
        <f>SUMIFS('Expense Log'!$G$5:$G$2000,'Expense Log'!$A$5:$A$2000,"&gt;="&amp;$A12,'Expense Log'!$A$5:$A$2000,"&lt;"&amp;EDATE($A12,1),'Expense Log'!$D$5:$D$2000,G$4)</f>
        <v>0</v>
      </c>
      <c r="H12" s="6">
        <f>SUMIFS('Expense Log'!$G$5:$G$2000,'Expense Log'!$A$5:$A$2000,"&gt;="&amp;$A12,'Expense Log'!$A$5:$A$2000,"&lt;"&amp;EDATE($A12,1),'Expense Log'!$D$5:$D$2000,H$4)</f>
        <v>0</v>
      </c>
      <c r="I12" s="6">
        <f>SUMIFS('Expense Log'!$G$5:$G$2000,'Expense Log'!$A$5:$A$2000,"&gt;="&amp;$A12,'Expense Log'!$A$5:$A$2000,"&lt;"&amp;EDATE($A12,1),'Expense Log'!$D$5:$D$2000,I$4)</f>
        <v>0</v>
      </c>
      <c r="J12" s="6">
        <f>SUMIFS('Expense Log'!$G$5:$G$2000,'Expense Log'!$A$5:$A$2000,"&gt;="&amp;$A12,'Expense Log'!$A$5:$A$2000,"&lt;"&amp;EDATE($A12,1),'Expense Log'!$D$5:$D$2000,J$4)</f>
        <v>0</v>
      </c>
      <c r="K12" s="52">
        <f t="shared" si="0"/>
        <v>0</v>
      </c>
      <c r="L12" s="17"/>
      <c r="M12" s="17"/>
      <c r="N12" s="29"/>
      <c r="O12" s="18">
        <f t="shared" si="1"/>
        <v>0</v>
      </c>
      <c r="P12" s="18">
        <f t="shared" si="2"/>
        <v>0</v>
      </c>
      <c r="Q12" s="18">
        <f t="shared" si="3"/>
        <v>0</v>
      </c>
    </row>
    <row r="13" spans="1:17" x14ac:dyDescent="0.3">
      <c r="A13" s="51">
        <v>46539</v>
      </c>
      <c r="B13" s="6">
        <f>SUMIFS('Expense Log'!$G$5:$G$2000,'Expense Log'!$A$5:$A$2000,"&gt;="&amp;$A13,'Expense Log'!$A$5:$A$2000,"&lt;"&amp;EDATE($A13,1),'Expense Log'!$D$5:$D$2000,B$4)</f>
        <v>0</v>
      </c>
      <c r="C13" s="6">
        <f>SUMIFS('Expense Log'!$G$5:$G$2000,'Expense Log'!$A$5:$A$2000,"&gt;="&amp;$A13,'Expense Log'!$A$5:$A$2000,"&lt;"&amp;EDATE($A13,1),'Expense Log'!$D$5:$D$2000,C$4)</f>
        <v>0</v>
      </c>
      <c r="D13" s="6">
        <f>SUMIFS('Expense Log'!$G$5:$G$2000,'Expense Log'!$A$5:$A$2000,"&gt;="&amp;$A13,'Expense Log'!$A$5:$A$2000,"&lt;"&amp;EDATE($A13,1),'Expense Log'!$D$5:$D$2000,D$4)</f>
        <v>0</v>
      </c>
      <c r="E13" s="6">
        <f>SUMIFS('Expense Log'!$G$5:$G$2000,'Expense Log'!$A$5:$A$2000,"&gt;="&amp;$A13,'Expense Log'!$A$5:$A$2000,"&lt;"&amp;EDATE($A13,1),'Expense Log'!$D$5:$D$2000,E$4)</f>
        <v>0</v>
      </c>
      <c r="F13" s="6">
        <f>SUMIFS('Expense Log'!$G$5:$G$2000,'Expense Log'!$A$5:$A$2000,"&gt;="&amp;$A13,'Expense Log'!$A$5:$A$2000,"&lt;"&amp;EDATE($A13,1),'Expense Log'!$D$5:$D$2000,F$4)</f>
        <v>0</v>
      </c>
      <c r="G13" s="6">
        <f>SUMIFS('Expense Log'!$G$5:$G$2000,'Expense Log'!$A$5:$A$2000,"&gt;="&amp;$A13,'Expense Log'!$A$5:$A$2000,"&lt;"&amp;EDATE($A13,1),'Expense Log'!$D$5:$D$2000,G$4)</f>
        <v>0</v>
      </c>
      <c r="H13" s="6">
        <f>SUMIFS('Expense Log'!$G$5:$G$2000,'Expense Log'!$A$5:$A$2000,"&gt;="&amp;$A13,'Expense Log'!$A$5:$A$2000,"&lt;"&amp;EDATE($A13,1),'Expense Log'!$D$5:$D$2000,H$4)</f>
        <v>0</v>
      </c>
      <c r="I13" s="6">
        <f>SUMIFS('Expense Log'!$G$5:$G$2000,'Expense Log'!$A$5:$A$2000,"&gt;="&amp;$A13,'Expense Log'!$A$5:$A$2000,"&lt;"&amp;EDATE($A13,1),'Expense Log'!$D$5:$D$2000,I$4)</f>
        <v>0</v>
      </c>
      <c r="J13" s="6">
        <f>SUMIFS('Expense Log'!$G$5:$G$2000,'Expense Log'!$A$5:$A$2000,"&gt;="&amp;$A13,'Expense Log'!$A$5:$A$2000,"&lt;"&amp;EDATE($A13,1),'Expense Log'!$D$5:$D$2000,J$4)</f>
        <v>0</v>
      </c>
      <c r="K13" s="52">
        <f t="shared" si="0"/>
        <v>0</v>
      </c>
      <c r="L13" s="17"/>
      <c r="M13" s="17"/>
      <c r="N13" s="29"/>
      <c r="O13" s="18">
        <f t="shared" si="1"/>
        <v>0</v>
      </c>
      <c r="P13" s="18">
        <f t="shared" si="2"/>
        <v>0</v>
      </c>
      <c r="Q13" s="18">
        <f t="shared" si="3"/>
        <v>0</v>
      </c>
    </row>
    <row r="14" spans="1:17" x14ac:dyDescent="0.3">
      <c r="A14" s="51">
        <v>46569</v>
      </c>
      <c r="B14" s="6">
        <f>SUMIFS('Expense Log'!$G$5:$G$2000,'Expense Log'!$A$5:$A$2000,"&gt;="&amp;$A14,'Expense Log'!$A$5:$A$2000,"&lt;"&amp;EDATE($A14,1),'Expense Log'!$D$5:$D$2000,B$4)</f>
        <v>0</v>
      </c>
      <c r="C14" s="6">
        <f>SUMIFS('Expense Log'!$G$5:$G$2000,'Expense Log'!$A$5:$A$2000,"&gt;="&amp;$A14,'Expense Log'!$A$5:$A$2000,"&lt;"&amp;EDATE($A14,1),'Expense Log'!$D$5:$D$2000,C$4)</f>
        <v>0</v>
      </c>
      <c r="D14" s="6">
        <f>SUMIFS('Expense Log'!$G$5:$G$2000,'Expense Log'!$A$5:$A$2000,"&gt;="&amp;$A14,'Expense Log'!$A$5:$A$2000,"&lt;"&amp;EDATE($A14,1),'Expense Log'!$D$5:$D$2000,D$4)</f>
        <v>0</v>
      </c>
      <c r="E14" s="6">
        <f>SUMIFS('Expense Log'!$G$5:$G$2000,'Expense Log'!$A$5:$A$2000,"&gt;="&amp;$A14,'Expense Log'!$A$5:$A$2000,"&lt;"&amp;EDATE($A14,1),'Expense Log'!$D$5:$D$2000,E$4)</f>
        <v>0</v>
      </c>
      <c r="F14" s="6">
        <f>SUMIFS('Expense Log'!$G$5:$G$2000,'Expense Log'!$A$5:$A$2000,"&gt;="&amp;$A14,'Expense Log'!$A$5:$A$2000,"&lt;"&amp;EDATE($A14,1),'Expense Log'!$D$5:$D$2000,F$4)</f>
        <v>0</v>
      </c>
      <c r="G14" s="6">
        <f>SUMIFS('Expense Log'!$G$5:$G$2000,'Expense Log'!$A$5:$A$2000,"&gt;="&amp;$A14,'Expense Log'!$A$5:$A$2000,"&lt;"&amp;EDATE($A14,1),'Expense Log'!$D$5:$D$2000,G$4)</f>
        <v>0</v>
      </c>
      <c r="H14" s="6">
        <f>SUMIFS('Expense Log'!$G$5:$G$2000,'Expense Log'!$A$5:$A$2000,"&gt;="&amp;$A14,'Expense Log'!$A$5:$A$2000,"&lt;"&amp;EDATE($A14,1),'Expense Log'!$D$5:$D$2000,H$4)</f>
        <v>0</v>
      </c>
      <c r="I14" s="6">
        <f>SUMIFS('Expense Log'!$G$5:$G$2000,'Expense Log'!$A$5:$A$2000,"&gt;="&amp;$A14,'Expense Log'!$A$5:$A$2000,"&lt;"&amp;EDATE($A14,1),'Expense Log'!$D$5:$D$2000,I$4)</f>
        <v>0</v>
      </c>
      <c r="J14" s="6">
        <f>SUMIFS('Expense Log'!$G$5:$G$2000,'Expense Log'!$A$5:$A$2000,"&gt;="&amp;$A14,'Expense Log'!$A$5:$A$2000,"&lt;"&amp;EDATE($A14,1),'Expense Log'!$D$5:$D$2000,J$4)</f>
        <v>0</v>
      </c>
      <c r="K14" s="52">
        <f t="shared" si="0"/>
        <v>0</v>
      </c>
      <c r="L14" s="17"/>
      <c r="M14" s="17"/>
      <c r="N14" s="29"/>
      <c r="O14" s="18">
        <f t="shared" si="1"/>
        <v>0</v>
      </c>
      <c r="P14" s="18">
        <f t="shared" si="2"/>
        <v>0</v>
      </c>
      <c r="Q14" s="18">
        <f t="shared" si="3"/>
        <v>0</v>
      </c>
    </row>
    <row r="15" spans="1:17" x14ac:dyDescent="0.3">
      <c r="A15" s="51">
        <v>46600</v>
      </c>
      <c r="B15" s="6">
        <f>SUMIFS('Expense Log'!$G$5:$G$2000,'Expense Log'!$A$5:$A$2000,"&gt;="&amp;$A15,'Expense Log'!$A$5:$A$2000,"&lt;"&amp;EDATE($A15,1),'Expense Log'!$D$5:$D$2000,B$4)</f>
        <v>0</v>
      </c>
      <c r="C15" s="6">
        <f>SUMIFS('Expense Log'!$G$5:$G$2000,'Expense Log'!$A$5:$A$2000,"&gt;="&amp;$A15,'Expense Log'!$A$5:$A$2000,"&lt;"&amp;EDATE($A15,1),'Expense Log'!$D$5:$D$2000,C$4)</f>
        <v>0</v>
      </c>
      <c r="D15" s="6">
        <f>SUMIFS('Expense Log'!$G$5:$G$2000,'Expense Log'!$A$5:$A$2000,"&gt;="&amp;$A15,'Expense Log'!$A$5:$A$2000,"&lt;"&amp;EDATE($A15,1),'Expense Log'!$D$5:$D$2000,D$4)</f>
        <v>0</v>
      </c>
      <c r="E15" s="6">
        <f>SUMIFS('Expense Log'!$G$5:$G$2000,'Expense Log'!$A$5:$A$2000,"&gt;="&amp;$A15,'Expense Log'!$A$5:$A$2000,"&lt;"&amp;EDATE($A15,1),'Expense Log'!$D$5:$D$2000,E$4)</f>
        <v>0</v>
      </c>
      <c r="F15" s="6">
        <f>SUMIFS('Expense Log'!$G$5:$G$2000,'Expense Log'!$A$5:$A$2000,"&gt;="&amp;$A15,'Expense Log'!$A$5:$A$2000,"&lt;"&amp;EDATE($A15,1),'Expense Log'!$D$5:$D$2000,F$4)</f>
        <v>0</v>
      </c>
      <c r="G15" s="6">
        <f>SUMIFS('Expense Log'!$G$5:$G$2000,'Expense Log'!$A$5:$A$2000,"&gt;="&amp;$A15,'Expense Log'!$A$5:$A$2000,"&lt;"&amp;EDATE($A15,1),'Expense Log'!$D$5:$D$2000,G$4)</f>
        <v>0</v>
      </c>
      <c r="H15" s="6">
        <f>SUMIFS('Expense Log'!$G$5:$G$2000,'Expense Log'!$A$5:$A$2000,"&gt;="&amp;$A15,'Expense Log'!$A$5:$A$2000,"&lt;"&amp;EDATE($A15,1),'Expense Log'!$D$5:$D$2000,H$4)</f>
        <v>0</v>
      </c>
      <c r="I15" s="6">
        <f>SUMIFS('Expense Log'!$G$5:$G$2000,'Expense Log'!$A$5:$A$2000,"&gt;="&amp;$A15,'Expense Log'!$A$5:$A$2000,"&lt;"&amp;EDATE($A15,1),'Expense Log'!$D$5:$D$2000,I$4)</f>
        <v>0</v>
      </c>
      <c r="J15" s="6">
        <f>SUMIFS('Expense Log'!$G$5:$G$2000,'Expense Log'!$A$5:$A$2000,"&gt;="&amp;$A15,'Expense Log'!$A$5:$A$2000,"&lt;"&amp;EDATE($A15,1),'Expense Log'!$D$5:$D$2000,J$4)</f>
        <v>0</v>
      </c>
      <c r="K15" s="52">
        <f t="shared" si="0"/>
        <v>0</v>
      </c>
      <c r="L15" s="17"/>
      <c r="M15" s="17"/>
      <c r="N15" s="29"/>
      <c r="O15" s="18">
        <f t="shared" si="1"/>
        <v>0</v>
      </c>
      <c r="P15" s="18">
        <f t="shared" si="2"/>
        <v>0</v>
      </c>
      <c r="Q15" s="18">
        <f t="shared" si="3"/>
        <v>0</v>
      </c>
    </row>
    <row r="16" spans="1:17" x14ac:dyDescent="0.3">
      <c r="A16" s="51">
        <v>46631</v>
      </c>
      <c r="B16" s="6">
        <f>SUMIFS('Expense Log'!$G$5:$G$2000,'Expense Log'!$A$5:$A$2000,"&gt;="&amp;$A16,'Expense Log'!$A$5:$A$2000,"&lt;"&amp;EDATE($A16,1),'Expense Log'!$D$5:$D$2000,B$4)</f>
        <v>0</v>
      </c>
      <c r="C16" s="6">
        <f>SUMIFS('Expense Log'!$G$5:$G$2000,'Expense Log'!$A$5:$A$2000,"&gt;="&amp;$A16,'Expense Log'!$A$5:$A$2000,"&lt;"&amp;EDATE($A16,1),'Expense Log'!$D$5:$D$2000,C$4)</f>
        <v>0</v>
      </c>
      <c r="D16" s="6">
        <f>SUMIFS('Expense Log'!$G$5:$G$2000,'Expense Log'!$A$5:$A$2000,"&gt;="&amp;$A16,'Expense Log'!$A$5:$A$2000,"&lt;"&amp;EDATE($A16,1),'Expense Log'!$D$5:$D$2000,D$4)</f>
        <v>0</v>
      </c>
      <c r="E16" s="6">
        <f>SUMIFS('Expense Log'!$G$5:$G$2000,'Expense Log'!$A$5:$A$2000,"&gt;="&amp;$A16,'Expense Log'!$A$5:$A$2000,"&lt;"&amp;EDATE($A16,1),'Expense Log'!$D$5:$D$2000,E$4)</f>
        <v>0</v>
      </c>
      <c r="F16" s="6">
        <f>SUMIFS('Expense Log'!$G$5:$G$2000,'Expense Log'!$A$5:$A$2000,"&gt;="&amp;$A16,'Expense Log'!$A$5:$A$2000,"&lt;"&amp;EDATE($A16,1),'Expense Log'!$D$5:$D$2000,F$4)</f>
        <v>0</v>
      </c>
      <c r="G16" s="6">
        <f>SUMIFS('Expense Log'!$G$5:$G$2000,'Expense Log'!$A$5:$A$2000,"&gt;="&amp;$A16,'Expense Log'!$A$5:$A$2000,"&lt;"&amp;EDATE($A16,1),'Expense Log'!$D$5:$D$2000,G$4)</f>
        <v>0</v>
      </c>
      <c r="H16" s="6">
        <f>SUMIFS('Expense Log'!$G$5:$G$2000,'Expense Log'!$A$5:$A$2000,"&gt;="&amp;$A16,'Expense Log'!$A$5:$A$2000,"&lt;"&amp;EDATE($A16,1),'Expense Log'!$D$5:$D$2000,H$4)</f>
        <v>0</v>
      </c>
      <c r="I16" s="6">
        <f>SUMIFS('Expense Log'!$G$5:$G$2000,'Expense Log'!$A$5:$A$2000,"&gt;="&amp;$A16,'Expense Log'!$A$5:$A$2000,"&lt;"&amp;EDATE($A16,1),'Expense Log'!$D$5:$D$2000,I$4)</f>
        <v>0</v>
      </c>
      <c r="J16" s="6">
        <f>SUMIFS('Expense Log'!$G$5:$G$2000,'Expense Log'!$A$5:$A$2000,"&gt;="&amp;$A16,'Expense Log'!$A$5:$A$2000,"&lt;"&amp;EDATE($A16,1),'Expense Log'!$D$5:$D$2000,J$4)</f>
        <v>0</v>
      </c>
      <c r="K16" s="52">
        <f t="shared" si="0"/>
        <v>0</v>
      </c>
      <c r="L16" s="17"/>
      <c r="M16" s="17"/>
      <c r="N16" s="29"/>
      <c r="O16" s="18">
        <f t="shared" si="1"/>
        <v>0</v>
      </c>
      <c r="P16" s="18">
        <f t="shared" si="2"/>
        <v>0</v>
      </c>
      <c r="Q16" s="18">
        <f t="shared" si="3"/>
        <v>0</v>
      </c>
    </row>
    <row r="17" spans="1:17" x14ac:dyDescent="0.3">
      <c r="A17" s="1" t="s">
        <v>348</v>
      </c>
      <c r="B17" s="22">
        <f t="shared" ref="B17:K17" si="4">SUM(B5:B16)</f>
        <v>7</v>
      </c>
      <c r="C17" s="22">
        <f t="shared" si="4"/>
        <v>0</v>
      </c>
      <c r="D17" s="22">
        <f t="shared" si="4"/>
        <v>0</v>
      </c>
      <c r="E17" s="22">
        <f t="shared" si="4"/>
        <v>0</v>
      </c>
      <c r="F17" s="22">
        <f t="shared" si="4"/>
        <v>0</v>
      </c>
      <c r="G17" s="22">
        <f t="shared" si="4"/>
        <v>0</v>
      </c>
      <c r="H17" s="22">
        <f t="shared" si="4"/>
        <v>0</v>
      </c>
      <c r="I17" s="22">
        <f t="shared" si="4"/>
        <v>0</v>
      </c>
      <c r="J17" s="22">
        <f t="shared" si="4"/>
        <v>0</v>
      </c>
      <c r="K17" s="22">
        <f t="shared" si="4"/>
        <v>7</v>
      </c>
      <c r="N17" s="22">
        <f>SUM(N5:N16)</f>
        <v>0</v>
      </c>
      <c r="Q17" s="22">
        <f>SUM(Q5:Q16)</f>
        <v>-7</v>
      </c>
    </row>
    <row r="19" spans="1:17" x14ac:dyDescent="0.3">
      <c r="A19" s="2" t="s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48</vt:i4>
      </vt:variant>
    </vt:vector>
  </HeadingPairs>
  <TitlesOfParts>
    <vt:vector size="57" baseType="lpstr">
      <vt:lpstr>Start Here</vt:lpstr>
      <vt:lpstr>Pricing</vt:lpstr>
      <vt:lpstr>Assumptions</vt:lpstr>
      <vt:lpstr>Unit Costs</vt:lpstr>
      <vt:lpstr>Allowance</vt:lpstr>
      <vt:lpstr>User Profiles</vt:lpstr>
      <vt:lpstr>Fixed Costs</vt:lpstr>
      <vt:lpstr>Expense Log</vt:lpstr>
      <vt:lpstr>Monthly Summary</vt:lpstr>
      <vt:lpstr>bb_rate</vt:lpstr>
      <vt:lpstr>blended_var_cost</vt:lpstr>
      <vt:lpstr>browser_calls</vt:lpstr>
      <vt:lpstr>cached_share</vt:lpstr>
      <vt:lpstr>credits_per_window</vt:lpstr>
      <vt:lpstr>days_per_month</vt:lpstr>
      <vt:lpstr>exa_rate</vt:lpstr>
      <vt:lpstr>fixed_launch</vt:lpstr>
      <vt:lpstr>fixed_today</vt:lpstr>
      <vt:lpstr>free_max_credits</vt:lpstr>
      <vt:lpstr>free_user_cost</vt:lpstr>
      <vt:lpstr>lk_agent</vt:lpstr>
      <vt:lpstr>lk_participants</vt:lpstr>
      <vt:lpstr>lk_webrtc</vt:lpstr>
      <vt:lpstr>llm_cache</vt:lpstr>
      <vt:lpstr>llm_in</vt:lpstr>
      <vt:lpstr>llm_out</vt:lpstr>
      <vt:lpstr>paid_credits_per_window</vt:lpstr>
      <vt:lpstr>paid_max_credits</vt:lpstr>
      <vt:lpstr>paid_worst_case</vt:lpstr>
      <vt:lpstr>paying_subs</vt:lpstr>
      <vt:lpstr>ref_browser</vt:lpstr>
      <vt:lpstr>ref_cached</vt:lpstr>
      <vt:lpstr>ref_in</vt:lpstr>
      <vt:lpstr>ref_out</vt:lpstr>
      <vt:lpstr>ref_stt</vt:lpstr>
      <vt:lpstr>ref_tts</vt:lpstr>
      <vt:lpstr>ref_voice</vt:lpstr>
      <vt:lpstr>safety_mult</vt:lpstr>
      <vt:lpstr>stripe_fixed</vt:lpstr>
      <vt:lpstr>stripe_pct</vt:lpstr>
      <vt:lpstr>stt_rate</vt:lpstr>
      <vt:lpstr>tokens_in</vt:lpstr>
      <vt:lpstr>tokens_out</vt:lpstr>
      <vt:lpstr>tts_rate</vt:lpstr>
      <vt:lpstr>u_browser_cr</vt:lpstr>
      <vt:lpstr>u_browser_usd</vt:lpstr>
      <vt:lpstr>u_search_cr</vt:lpstr>
      <vt:lpstr>u_search_usd</vt:lpstr>
      <vt:lpstr>u_text_cr</vt:lpstr>
      <vt:lpstr>u_text_usd</vt:lpstr>
      <vt:lpstr>u_voice_cr</vt:lpstr>
      <vt:lpstr>u_voice_usd</vt:lpstr>
      <vt:lpstr>usd_per_credit</vt:lpstr>
      <vt:lpstr>voice_chars</vt:lpstr>
      <vt:lpstr>voice_stt_min</vt:lpstr>
      <vt:lpstr>voice_turns</vt:lpstr>
      <vt:lpstr>window_hours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Harshil Gor</cp:lastModifiedBy>
  <dcterms:created xsi:type="dcterms:W3CDTF">2026-10-13T00:02:05Z</dcterms:created>
  <dcterms:modified xsi:type="dcterms:W3CDTF">2026-10-13T00:02:55Z</dcterms:modified>
</cp:coreProperties>
</file>